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bgt-srv4-2k19\Users_data\ICT MS\Greatman.U\Pictures\KGS\Portfolios\Data Analysis\"/>
    </mc:Choice>
  </mc:AlternateContent>
  <bookViews>
    <workbookView minimized="1" xWindow="-110" yWindow="-110" windowWidth="25180" windowHeight="16140" tabRatio="686" firstSheet="1" activeTab="1"/>
  </bookViews>
  <sheets>
    <sheet name="Sheet1" sheetId="16" state="hidden" r:id="rId1"/>
    <sheet name="January" sheetId="4" r:id="rId2"/>
    <sheet name="February" sheetId="5" r:id="rId3"/>
    <sheet name="March" sheetId="6" r:id="rId4"/>
    <sheet name="April" sheetId="7" r:id="rId5"/>
    <sheet name="May" sheetId="8" r:id="rId6"/>
    <sheet name="June" sheetId="9" r:id="rId7"/>
    <sheet name="July" sheetId="10" r:id="rId8"/>
    <sheet name="August" sheetId="11" r:id="rId9"/>
    <sheet name="September" sheetId="12" r:id="rId10"/>
    <sheet name="October" sheetId="14" r:id="rId11"/>
    <sheet name="November" sheetId="13" r:id="rId12"/>
    <sheet name="December" sheetId="15" r:id="rId13"/>
  </sheets>
  <definedNames>
    <definedName name="CalendarYear">January!$AG$3</definedName>
    <definedName name="KeyCustom1">January!$S$13</definedName>
    <definedName name="KeyCustom1Label">January!$T$13</definedName>
    <definedName name="KeyCustom2">January!$W$13</definedName>
    <definedName name="KeyCustom2Label">January!$X$13</definedName>
    <definedName name="KeyPersonal">January!$K$13</definedName>
    <definedName name="KeyPersonalLabel">January!$L$13</definedName>
    <definedName name="KeySick">January!$O$13</definedName>
    <definedName name="KeySickLabel">January!$P$13</definedName>
    <definedName name="KeyVacation">January!$G$13</definedName>
    <definedName name="KeyVacationLabel">January!$H$13</definedName>
    <definedName name="MonthName" localSheetId="4">April!$A$2</definedName>
    <definedName name="MonthName" localSheetId="8">August!$A$2</definedName>
    <definedName name="MonthName" localSheetId="12">December!$A$2</definedName>
    <definedName name="MonthName" localSheetId="2">February!$A$2</definedName>
    <definedName name="MonthName" localSheetId="1">January!$A$3</definedName>
    <definedName name="MonthName" localSheetId="7">July!$A$2</definedName>
    <definedName name="MonthName" localSheetId="6">June!$A$2</definedName>
    <definedName name="MonthName" localSheetId="3">March!$A$2</definedName>
    <definedName name="MonthName" localSheetId="5">May!$A$2</definedName>
    <definedName name="MonthName" localSheetId="11">November!$A$2</definedName>
    <definedName name="MonthName" localSheetId="10">October!$A$2</definedName>
    <definedName name="MonthName" localSheetId="9">September!$A$2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4" l="1"/>
  <c r="S12" i="5"/>
  <c r="W12" i="5"/>
  <c r="W12" i="6" l="1"/>
  <c r="W12" i="7"/>
  <c r="W12" i="8"/>
  <c r="W12" i="9"/>
  <c r="W12" i="10"/>
  <c r="W12" i="11"/>
  <c r="W12" i="12"/>
  <c r="W12" i="14"/>
  <c r="W12" i="13"/>
  <c r="W12" i="15"/>
  <c r="S12" i="6"/>
  <c r="S12" i="7"/>
  <c r="S12" i="8"/>
  <c r="S12" i="9"/>
  <c r="S12" i="10"/>
  <c r="S12" i="11"/>
  <c r="S12" i="12"/>
  <c r="S12" i="14"/>
  <c r="S12" i="13"/>
  <c r="S12" i="15"/>
  <c r="X12" i="6" l="1"/>
  <c r="X12" i="7"/>
  <c r="X12" i="8"/>
  <c r="X12" i="9"/>
  <c r="X12" i="10"/>
  <c r="X12" i="11"/>
  <c r="X12" i="12"/>
  <c r="X12" i="14"/>
  <c r="X12" i="13"/>
  <c r="X12" i="15"/>
  <c r="X12" i="5"/>
  <c r="T12" i="6"/>
  <c r="T12" i="7"/>
  <c r="T12" i="8"/>
  <c r="T12" i="9"/>
  <c r="T12" i="10"/>
  <c r="T12" i="11"/>
  <c r="T12" i="12"/>
  <c r="T12" i="14"/>
  <c r="T12" i="13"/>
  <c r="T12" i="15"/>
  <c r="T12" i="5"/>
  <c r="P12" i="6"/>
  <c r="P12" i="7"/>
  <c r="P12" i="8"/>
  <c r="P12" i="9"/>
  <c r="P12" i="10"/>
  <c r="P12" i="11"/>
  <c r="P12" i="12"/>
  <c r="P12" i="14"/>
  <c r="P12" i="13"/>
  <c r="P12" i="15"/>
  <c r="P12" i="5"/>
  <c r="L12" i="6"/>
  <c r="L12" i="7"/>
  <c r="L12" i="8"/>
  <c r="L12" i="9"/>
  <c r="L12" i="10"/>
  <c r="L12" i="11"/>
  <c r="L12" i="12"/>
  <c r="L12" i="14"/>
  <c r="L12" i="13"/>
  <c r="L12" i="15"/>
  <c r="L12" i="5"/>
  <c r="H12" i="6"/>
  <c r="H12" i="7"/>
  <c r="H12" i="8"/>
  <c r="H12" i="9"/>
  <c r="H12" i="10"/>
  <c r="H12" i="11"/>
  <c r="H12" i="12"/>
  <c r="H12" i="14"/>
  <c r="H12" i="13"/>
  <c r="H12" i="15"/>
  <c r="H12" i="5"/>
  <c r="O12" i="7"/>
  <c r="O12" i="8"/>
  <c r="O12" i="9"/>
  <c r="O12" i="10"/>
  <c r="O12" i="11"/>
  <c r="O12" i="12"/>
  <c r="O12" i="14"/>
  <c r="O12" i="13"/>
  <c r="O12" i="15"/>
  <c r="O12" i="6"/>
  <c r="K12" i="7"/>
  <c r="K12" i="8"/>
  <c r="K12" i="9"/>
  <c r="K12" i="10"/>
  <c r="K12" i="11"/>
  <c r="K12" i="12"/>
  <c r="K12" i="14"/>
  <c r="K12" i="13"/>
  <c r="K12" i="15"/>
  <c r="K12" i="6"/>
  <c r="G12" i="7"/>
  <c r="G12" i="8"/>
  <c r="G12" i="9"/>
  <c r="G12" i="10"/>
  <c r="G12" i="11"/>
  <c r="G12" i="12"/>
  <c r="G12" i="14"/>
  <c r="G12" i="13"/>
  <c r="G12" i="15"/>
  <c r="G12" i="6"/>
  <c r="G12" i="5"/>
  <c r="K12" i="5"/>
  <c r="O12" i="5"/>
  <c r="A10" i="15" l="1"/>
  <c r="A10" i="13"/>
  <c r="A10" i="14"/>
  <c r="A10" i="12"/>
  <c r="A10" i="11"/>
  <c r="A10" i="10"/>
  <c r="A10" i="9"/>
  <c r="A10" i="8"/>
  <c r="A10" i="7"/>
  <c r="A10" i="6"/>
  <c r="A10" i="5"/>
  <c r="AF3" i="15" l="1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B12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G9" i="15"/>
  <c r="AG8" i="15"/>
  <c r="AG7" i="15"/>
  <c r="AG6" i="15"/>
  <c r="AG5" i="15"/>
  <c r="AG2" i="15"/>
  <c r="B12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G9" i="14"/>
  <c r="AG8" i="14"/>
  <c r="AG7" i="14"/>
  <c r="AG6" i="14"/>
  <c r="AG5" i="14"/>
  <c r="AG2" i="14"/>
  <c r="B12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G9" i="13"/>
  <c r="AG8" i="13"/>
  <c r="AG7" i="13"/>
  <c r="AG6" i="13"/>
  <c r="AG5" i="13"/>
  <c r="AG2" i="13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B12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AG9" i="12"/>
  <c r="AG8" i="12"/>
  <c r="AG7" i="12"/>
  <c r="AG6" i="12"/>
  <c r="AG5" i="12"/>
  <c r="AG2" i="12"/>
  <c r="B12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G9" i="11"/>
  <c r="AG8" i="11"/>
  <c r="AG7" i="11"/>
  <c r="AG6" i="11"/>
  <c r="AG5" i="11"/>
  <c r="AG2" i="11"/>
  <c r="B12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G9" i="10"/>
  <c r="AG8" i="10"/>
  <c r="AG7" i="10"/>
  <c r="AG6" i="10"/>
  <c r="AG5" i="10"/>
  <c r="AG2" i="10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12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G9" i="9"/>
  <c r="AG8" i="9"/>
  <c r="AG7" i="9"/>
  <c r="AG6" i="9"/>
  <c r="AG5" i="9"/>
  <c r="AG2" i="9"/>
  <c r="B12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G9" i="8"/>
  <c r="AG8" i="8"/>
  <c r="AG7" i="8"/>
  <c r="AG6" i="8"/>
  <c r="AG5" i="8"/>
  <c r="AG2" i="8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B12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G9" i="7"/>
  <c r="AG8" i="7"/>
  <c r="AG7" i="7"/>
  <c r="AG6" i="7"/>
  <c r="AG5" i="7"/>
  <c r="AG2" i="7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B12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G9" i="6"/>
  <c r="AG8" i="6"/>
  <c r="AG7" i="6"/>
  <c r="AG6" i="6"/>
  <c r="AG5" i="6"/>
  <c r="AG2" i="6"/>
  <c r="AG10" i="6" l="1"/>
  <c r="AG10" i="12"/>
  <c r="AG10" i="14"/>
  <c r="AG10" i="9"/>
  <c r="AG10" i="10"/>
  <c r="AG10" i="7"/>
  <c r="AG10" i="8"/>
  <c r="AG10" i="11"/>
  <c r="AG10" i="13"/>
  <c r="AG10" i="15"/>
  <c r="AG9" i="5"/>
  <c r="AG8" i="5"/>
  <c r="AG7" i="5"/>
  <c r="B12" i="5"/>
  <c r="AG2" i="5"/>
  <c r="AG10" i="4"/>
  <c r="AG9" i="4"/>
  <c r="AG8" i="4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G6" i="5"/>
  <c r="AG5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G10" i="5" l="1"/>
  <c r="AG6" i="4"/>
  <c r="AG7" i="4"/>
  <c r="AF11" i="4" l="1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G11" i="4"/>
  <c r="D5" i="16" s="1"/>
  <c r="AD4" i="4"/>
  <c r="Z4" i="4"/>
  <c r="V4" i="4"/>
  <c r="N4" i="4"/>
  <c r="F4" i="4"/>
  <c r="AC4" i="4"/>
  <c r="Y4" i="4"/>
  <c r="Q4" i="4"/>
  <c r="M4" i="4"/>
  <c r="E4" i="4"/>
  <c r="L4" i="4"/>
  <c r="AF4" i="4"/>
  <c r="AB4" i="4"/>
  <c r="X4" i="4"/>
  <c r="R4" i="4"/>
  <c r="J4" i="4"/>
  <c r="D4" i="4"/>
  <c r="AE4" i="4"/>
  <c r="AA4" i="4"/>
  <c r="W4" i="4"/>
  <c r="S4" i="4"/>
  <c r="O4" i="4"/>
  <c r="K4" i="4"/>
  <c r="G4" i="4"/>
  <c r="C4" i="4"/>
  <c r="P4" i="4"/>
  <c r="H4" i="4"/>
  <c r="B4" i="4"/>
  <c r="U4" i="4"/>
  <c r="I4" i="4"/>
  <c r="T4" i="4"/>
</calcChain>
</file>

<file path=xl/sharedStrings.xml><?xml version="1.0" encoding="utf-8"?>
<sst xmlns="http://schemas.openxmlformats.org/spreadsheetml/2006/main" count="554" uniqueCount="70">
  <si>
    <t>Dates of Absence</t>
  </si>
  <si>
    <t>Employee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</si>
  <si>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</si>
  <si>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</si>
  <si>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</si>
  <si>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</si>
  <si>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</si>
  <si>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</si>
  <si>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</si>
  <si>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</si>
  <si>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</si>
  <si>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</si>
  <si>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</si>
  <si>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</si>
  <si>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</si>
  <si>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</si>
  <si>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</si>
  <si>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</si>
  <si>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</si>
  <si>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</si>
  <si>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</si>
  <si>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</si>
  <si>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</si>
  <si>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</si>
  <si>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</si>
  <si>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</si>
  <si>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</si>
  <si>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</si>
  <si>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</si>
  <si>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</si>
  <si>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</si>
  <si>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</si>
  <si>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</si>
  <si>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Days</t>
  </si>
  <si>
    <t>Employee 1</t>
  </si>
  <si>
    <t>S</t>
  </si>
  <si>
    <t>V</t>
  </si>
  <si>
    <t>Employee 2</t>
  </si>
  <si>
    <t xml:space="preserve"> </t>
  </si>
  <si>
    <t xml:space="preserve">  </t>
  </si>
  <si>
    <t>P</t>
  </si>
  <si>
    <t>January</t>
  </si>
  <si>
    <t>Vacation</t>
  </si>
  <si>
    <t>Personal</t>
  </si>
  <si>
    <t>Sick</t>
  </si>
  <si>
    <t>Color Key</t>
  </si>
  <si>
    <t>February</t>
  </si>
  <si>
    <t>Employee 3</t>
  </si>
  <si>
    <t>Employee 4</t>
  </si>
  <si>
    <t>Employee 5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</si>
  <si>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</si>
  <si>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</si>
  <si>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</si>
  <si>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</si>
  <si>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</si>
  <si>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</si>
  <si>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</si>
  <si>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</si>
  <si>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</si>
  <si>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</si>
  <si>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</t>
  </si>
  <si>
    <t>J</t>
  </si>
  <si>
    <t>Jury Duty</t>
  </si>
  <si>
    <t>Bereavement</t>
  </si>
  <si>
    <t>Vacation Days</t>
  </si>
  <si>
    <t>Working Days</t>
  </si>
  <si>
    <t>Absent Rate %</t>
  </si>
  <si>
    <t>All Months</t>
  </si>
  <si>
    <t>Quick Summary</t>
  </si>
  <si>
    <t>Employee Vacation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</si>
</sst>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0;"/>
  </numFmts>
  <fonts count="19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ajor"/>
    </font>
    <font>
      <b/>
      <sz val="26"/>
      <color theme="3"/>
      <name val="Calibri"/>
      <family val="2"/>
      <scheme val="major"/>
    </font>
    <font>
      <sz val="9"/>
      <name val="Calibri"/>
      <family val="2"/>
      <scheme val="minor"/>
    </font>
    <font>
      <sz val="18"/>
      <color theme="3"/>
      <name val="Calibri"/>
      <family val="2"/>
      <scheme val="minor"/>
    </font>
    <font>
      <sz val="11"/>
      <color theme="1"/>
      <name val="Calibri"/>
      <family val="2"/>
      <scheme val="major"/>
    </font>
    <font>
      <sz val="10"/>
      <name val="Calibri"/>
      <family val="2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595959"/>
      <name val="Calibri"/>
      <family val="2"/>
    </font>
    <font>
      <b/>
      <sz val="26"/>
      <color theme="9" tint="-0.499984740745262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theme="2" tint="-0.499984740745262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medium">
        <color theme="2" tint="-0.499984740745262"/>
      </bottom>
      <diagonal/>
    </border>
    <border>
      <left/>
      <right style="thin">
        <color theme="0"/>
      </right>
      <top/>
      <bottom style="medium">
        <color theme="2" tint="-0.499984740745262"/>
      </bottom>
      <diagonal/>
    </border>
  </borders>
  <cellStyleXfs count="5">
    <xf numFmtId="0" fontId="0" fillId="0" borderId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right" indent="2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7" fillId="4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4" fontId="0" fillId="8" borderId="0" xfId="0" applyNumberFormat="1" applyFill="1" applyAlignment="1">
      <alignment horizontal="left" vertical="center"/>
    </xf>
    <xf numFmtId="0" fontId="1" fillId="8" borderId="0" xfId="0" applyFont="1" applyFill="1" applyAlignment="1">
      <alignment vertical="center"/>
    </xf>
    <xf numFmtId="164" fontId="0" fillId="8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left" vertical="center" wrapText="1" indent="2"/>
    </xf>
    <xf numFmtId="0" fontId="16" fillId="9" borderId="0" xfId="0" applyFont="1" applyFill="1" applyAlignment="1">
      <alignment horizontal="center" vertical="center"/>
    </xf>
    <xf numFmtId="49" fontId="8" fillId="9" borderId="0" xfId="0" applyNumberFormat="1" applyFont="1" applyFill="1" applyAlignment="1">
      <alignment horizontal="left" vertical="center" indent="1"/>
    </xf>
    <xf numFmtId="49" fontId="18" fillId="0" borderId="0" xfId="1" applyNumberFormat="1" applyFont="1" applyFill="1" applyBorder="1" applyAlignment="1">
      <alignment vertical="top"/>
    </xf>
    <xf numFmtId="0" fontId="16" fillId="9" borderId="4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vertical="center"/>
    </xf>
    <xf numFmtId="0" fontId="16" fillId="9" borderId="7" xfId="0" applyFont="1" applyFill="1" applyBorder="1" applyAlignment="1">
      <alignment vertical="center"/>
    </xf>
    <xf numFmtId="49" fontId="16" fillId="9" borderId="0" xfId="0" applyNumberFormat="1" applyFont="1" applyFill="1" applyAlignment="1">
      <alignment horizontal="left" vertical="center" indent="1"/>
    </xf>
    <xf numFmtId="164" fontId="8" fillId="9" borderId="0" xfId="0" applyNumberFormat="1" applyFont="1" applyFill="1" applyAlignment="1">
      <alignment vertical="center"/>
    </xf>
    <xf numFmtId="164" fontId="0" fillId="9" borderId="0" xfId="0" applyNumberFormat="1" applyFill="1" applyAlignment="1">
      <alignment horizontal="center" vertical="center"/>
    </xf>
    <xf numFmtId="0" fontId="16" fillId="9" borderId="0" xfId="0" applyFont="1" applyFill="1" applyAlignment="1">
      <alignment horizontal="left" vertical="center" indent="1"/>
    </xf>
    <xf numFmtId="164" fontId="15" fillId="9" borderId="0" xfId="0" applyNumberFormat="1" applyFont="1" applyFill="1" applyAlignment="1">
      <alignment horizontal="center" vertical="center"/>
    </xf>
    <xf numFmtId="164" fontId="16" fillId="9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7" fillId="10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5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/>
    <cellStyle name="Title" xfId="1" builtinId="15" customBuiltin="1"/>
  </cellStyles>
  <dxfs count="8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0;0;"/>
      <fill>
        <patternFill patternType="none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1" justifyLastLine="0" shrinkToFit="0" readingOrder="0"/>
    </dxf>
    <dxf>
      <numFmt numFmtId="30" formatCode="@"/>
      <alignment horizontal="left" vertical="center" textRotation="0" wrapText="1" indent="2" justifyLastLine="0" shrinkToFit="0" readingOrder="0"/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;0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2" justifyLastLine="0" shrinkToFit="0" readingOrder="0"/>
    </dxf>
    <dxf>
      <font>
        <color theme="0"/>
      </font>
      <border>
        <vertical/>
        <horizontal/>
      </border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8"/>
        </patternFill>
      </fill>
    </dxf>
    <dxf>
      <fill>
        <patternFill patternType="none">
          <bgColor auto="1"/>
        </patternFill>
      </fill>
      <border diagonalUp="0" diagonalDown="0">
        <left/>
        <right/>
        <top style="thin">
          <color theme="0" tint="-0.14996795556505021"/>
        </top>
        <bottom style="medium">
          <color theme="2" tint="-0.499984740745262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6795556505021"/>
        </bottom>
        <vertical/>
        <horizontal style="thin">
          <color theme="0" tint="-0.14993743705557422"/>
        </horizontal>
      </border>
    </dxf>
    <dxf>
      <font>
        <color theme="1"/>
      </font>
      <fill>
        <patternFill patternType="solid">
          <bgColor theme="2"/>
        </patternFill>
      </fill>
      <border diagonalUp="0" diagonalDown="0">
        <left/>
        <right/>
        <top/>
        <bottom style="thin">
          <color theme="0" tint="-0.14996795556505021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3743705557422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ill>
        <patternFill>
          <bgColor theme="0" tint="-4.9989318521683403E-2"/>
        </patternFill>
      </fill>
      <border>
        <left style="thin">
          <color theme="0"/>
        </left>
        <right style="thin">
          <color theme="0"/>
        </right>
        <vertical style="thin">
          <color theme="0"/>
        </vertical>
      </border>
    </dxf>
    <dxf>
      <fill>
        <patternFill>
          <bgColor theme="0" tint="-0.14996795556505021"/>
        </patternFill>
      </fill>
    </dxf>
    <dxf>
      <fill>
        <patternFill patternType="solid">
          <fgColor theme="4" tint="0.79992065187536243"/>
          <bgColor theme="0" tint="-4.9989318521683403E-2"/>
        </patternFill>
      </fill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ont>
        <color theme="1"/>
      </font>
      <fill>
        <patternFill patternType="none">
          <bgColor auto="1"/>
        </patternFill>
      </fill>
      <border>
        <left/>
        <right/>
        <top style="thin">
          <color theme="2" tint="-9.9917600024414813E-2"/>
        </top>
        <bottom style="thin">
          <color theme="2" tint="-9.9948118533890809E-2"/>
        </bottom>
        <vertical/>
        <horizontal style="thin">
          <color theme="2" tint="-9.9917600024414813E-2"/>
        </horizontal>
      </border>
    </dxf>
    <dxf>
      <font>
        <color theme="1"/>
      </font>
      <fill>
        <patternFill>
          <bgColor theme="2" tint="-0.24994659260841701"/>
        </patternFill>
      </fill>
      <border diagonalUp="0" diagonalDown="0">
        <left style="thin">
          <color theme="0"/>
        </left>
        <right style="thin">
          <color theme="0"/>
        </right>
        <top/>
        <bottom style="medium">
          <color theme="2" tint="-0.499984740745262"/>
        </bottom>
        <vertical style="thin">
          <color theme="0"/>
        </vertical>
        <horizontal/>
      </border>
    </dxf>
    <dxf>
      <font>
        <color theme="0"/>
      </font>
      <fill>
        <patternFill>
          <bgColor theme="3"/>
        </patternFill>
      </fill>
    </dxf>
    <dxf>
      <font>
        <color theme="4" tint="-0.249977111117893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Employee Absence Table" pivot="0" count="13">
      <tableStyleElement type="wholeTable" dxfId="853"/>
      <tableStyleElement type="headerRow" dxfId="852"/>
      <tableStyleElement type="totalRow" dxfId="851"/>
      <tableStyleElement type="firstColumn" dxfId="850"/>
      <tableStyleElement type="lastColumn" dxfId="849"/>
      <tableStyleElement type="firstRowStripe" dxfId="848"/>
      <tableStyleElement type="secondRowStripe" dxfId="847"/>
      <tableStyleElement type="firstColumnStripe" dxfId="846"/>
      <tableStyleElement type="secondColumnStripe" dxfId="845"/>
      <tableStyleElement type="firstHeaderCell" dxfId="844"/>
      <tableStyleElement type="lastHeaderCell" dxfId="843"/>
      <tableStyleElement type="firstTotalCell" dxfId="842"/>
      <tableStyleElement type="lastTotalCell" dxfId="841"/>
    </tableStyle>
  </tableStyles>
  <colors>
    <mruColors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kinggreatmanspirit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95250</xdr:colOff>
      <xdr:row>1</xdr:row>
      <xdr:rowOff>590550</xdr:rowOff>
    </xdr:from>
    <xdr:to>
      <xdr:col>33</xdr:col>
      <xdr:colOff>19050</xdr:colOff>
      <xdr:row>5</xdr:row>
      <xdr:rowOff>19051</xdr:rowOff>
    </xdr:to>
    <xdr:sp macro="" textlink="">
      <xdr:nvSpPr>
        <xdr:cNvPr id="3" name="Data Entry Note" descr="Enter Year: Type year in cell AG2" title="Data Entry Tip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982200" y="1228725"/>
          <a:ext cx="828675" cy="838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accent6">
                  <a:lumMod val="25000"/>
                </a:schemeClr>
              </a:solidFill>
            </a:rPr>
            <a:t>Enter Year:</a:t>
          </a:r>
        </a:p>
      </xdr:txBody>
    </xdr:sp>
    <xdr:clientData fPrintsWithSheet="0"/>
  </xdr:twoCellAnchor>
  <xdr:twoCellAnchor>
    <xdr:from>
      <xdr:col>33</xdr:col>
      <xdr:colOff>85725</xdr:colOff>
      <xdr:row>8</xdr:row>
      <xdr:rowOff>152400</xdr:rowOff>
    </xdr:from>
    <xdr:to>
      <xdr:col>36</xdr:col>
      <xdr:colOff>200025</xdr:colOff>
      <xdr:row>13</xdr:row>
      <xdr:rowOff>74820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1319452" y="2738582"/>
          <a:ext cx="2036618" cy="851829"/>
          <a:chOff x="10877550" y="2152650"/>
          <a:chExt cx="1943100" cy="874920"/>
        </a:xfrm>
      </xdr:grpSpPr>
      <xdr:sp macro="" textlink="">
        <xdr:nvSpPr>
          <xdr:cNvPr id="8" name="TextBox 7" descr="To add a new employee, select the Total Days cell for the last employee and then press the Tab key. " title="Tip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11191876" y="2152650"/>
            <a:ext cx="1628774" cy="8749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00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To add a new employee, select the Total</a:t>
            </a:r>
            <a:r>
              <a:rPr lang="en-US" sz="1000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 Days cell for the last employee and then </a:t>
            </a:r>
            <a:r>
              <a:rPr lang="en-US" sz="100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press the Tab key</a:t>
            </a:r>
            <a:r>
              <a:rPr lang="en-US" sz="1000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. </a:t>
            </a:r>
            <a:endParaRPr lang="en-US" sz="1000">
              <a:solidFill>
                <a:schemeClr val="tx2"/>
              </a:solidFill>
              <a:effectLst/>
            </a:endParaRPr>
          </a:p>
          <a:p>
            <a:endParaRPr lang="en-US" sz="1000">
              <a:solidFill>
                <a:schemeClr val="tx2"/>
              </a:solidFill>
            </a:endParaRPr>
          </a:p>
        </xdr:txBody>
      </xdr: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10877550" y="2286000"/>
            <a:ext cx="342900" cy="0"/>
          </a:xfrm>
          <a:prstGeom prst="straightConnector1">
            <a:avLst/>
          </a:prstGeom>
          <a:ln>
            <a:headEnd type="triangle" w="med" len="med"/>
            <a:tailEnd type="non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27</xdr:col>
      <xdr:colOff>111125</xdr:colOff>
      <xdr:row>0</xdr:row>
      <xdr:rowOff>241300</xdr:rowOff>
    </xdr:from>
    <xdr:to>
      <xdr:col>32</xdr:col>
      <xdr:colOff>933451</xdr:colOff>
      <xdr:row>1</xdr:row>
      <xdr:rowOff>365125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070975" y="241300"/>
          <a:ext cx="2219326" cy="758825"/>
        </a:xfrm>
        <a:prstGeom prst="rect">
          <a:avLst/>
        </a:prstGeom>
        <a:solidFill>
          <a:srgbClr val="00B050"/>
        </a:solidFill>
        <a:ln>
          <a:solidFill>
            <a:srgbClr val="FFFF00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400" b="1">
              <a:solidFill>
                <a:srgbClr val="FFFF00"/>
              </a:solidFill>
            </a:rPr>
            <a:t>Automate Employee Certification &amp; Training Tracking</a:t>
          </a:r>
        </a:p>
        <a:p>
          <a:pPr algn="l"/>
          <a:endParaRPr lang="en-CA" sz="1100" baseline="0"/>
        </a:p>
      </xdr:txBody>
    </xdr:sp>
    <xdr:clientData/>
  </xdr:twoCellAnchor>
  <xdr:twoCellAnchor editAs="oneCell">
    <xdr:from>
      <xdr:col>28</xdr:col>
      <xdr:colOff>28866</xdr:colOff>
      <xdr:row>11</xdr:row>
      <xdr:rowOff>98136</xdr:rowOff>
    </xdr:from>
    <xdr:to>
      <xdr:col>33</xdr:col>
      <xdr:colOff>46183</xdr:colOff>
      <xdr:row>17</xdr:row>
      <xdr:rowOff>90537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2" y="3238500"/>
          <a:ext cx="2072408" cy="111231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blJanuary" displayName="tblJanuary" ref="A5:AG11" totalsRowCount="1">
  <tableColumns count="33">
    <tableColumn id="1" name="Employee Name" totalsRowFunction="custom" dataDxfId="64" totalsRowDxfId="63">
      <totalsRowFormula>MonthName&amp;" Total"</totalsRowFormula>
    </tableColumn>
    <tableColumn id="2" name="1" totalsRowFunction="count" dataDxfId="62" totalsRowDxfId="61"/>
    <tableColumn id="3" name="2" totalsRowFunction="count" dataDxfId="60" totalsRowDxfId="59"/>
    <tableColumn id="4" name="3" totalsRowFunction="count" dataDxfId="58" totalsRowDxfId="57"/>
    <tableColumn id="5" name="4" totalsRowFunction="count" dataDxfId="56" totalsRowDxfId="55"/>
    <tableColumn id="6" name="5" totalsRowFunction="count" dataDxfId="54" totalsRowDxfId="53"/>
    <tableColumn id="7" name="6" totalsRowFunction="count" dataDxfId="52" totalsRowDxfId="51"/>
    <tableColumn id="8" name="7" totalsRowFunction="count" dataDxfId="50" totalsRowDxfId="49"/>
    <tableColumn id="9" name="8" totalsRowFunction="count" dataDxfId="48" totalsRowDxfId="47"/>
    <tableColumn id="10" name="9" totalsRowFunction="count" dataDxfId="46" totalsRowDxfId="45"/>
    <tableColumn id="11" name="10" totalsRowFunction="count" dataDxfId="44" totalsRowDxfId="43"/>
    <tableColumn id="12" name="11" totalsRowFunction="count" dataDxfId="42" totalsRowDxfId="41"/>
    <tableColumn id="13" name="12" totalsRowFunction="count" dataDxfId="40" totalsRowDxfId="39"/>
    <tableColumn id="14" name="13" totalsRowFunction="count" dataDxfId="38" totalsRowDxfId="37"/>
    <tableColumn id="15" name="14" totalsRowFunction="count" dataDxfId="36" totalsRowDxfId="35"/>
    <tableColumn id="16" name="15" totalsRowFunction="count" dataDxfId="34" totalsRowDxfId="33"/>
    <tableColumn id="17" name="16" totalsRowFunction="count" dataDxfId="32" totalsRowDxfId="31"/>
    <tableColumn id="18" name="17" totalsRowFunction="count" dataDxfId="30" totalsRowDxfId="29"/>
    <tableColumn id="19" name="18" totalsRowFunction="count" dataDxfId="28" totalsRowDxfId="27"/>
    <tableColumn id="20" name="19" totalsRowFunction="count" dataDxfId="26" totalsRowDxfId="25"/>
    <tableColumn id="21" name="20" totalsRowFunction="count" dataDxfId="24" totalsRowDxfId="23"/>
    <tableColumn id="22" name="21" totalsRowFunction="count" dataDxfId="22" totalsRowDxfId="21"/>
    <tableColumn id="23" name="22" totalsRowFunction="count" dataDxfId="20" totalsRowDxfId="19"/>
    <tableColumn id="24" name="23" totalsRowFunction="count" dataDxfId="18" totalsRowDxfId="17"/>
    <tableColumn id="25" name="24" totalsRowFunction="count" dataDxfId="16" totalsRowDxfId="15"/>
    <tableColumn id="26" name="25" totalsRowFunction="count" dataDxfId="14" totalsRowDxfId="13"/>
    <tableColumn id="27" name="26" totalsRowFunction="count" dataDxfId="12" totalsRowDxfId="11"/>
    <tableColumn id="28" name="27" totalsRowFunction="count" dataDxfId="10" totalsRowDxfId="9"/>
    <tableColumn id="29" name="28" totalsRowFunction="count" dataDxfId="8" totalsRowDxfId="7"/>
    <tableColumn id="30" name="29" totalsRowFunction="count" dataDxfId="6" totalsRowDxfId="5"/>
    <tableColumn id="31" name="30" totalsRowFunction="count" dataDxfId="4" totalsRowDxfId="3"/>
    <tableColumn id="32" name="31" totalsRowFunction="count" dataDxfId="2" totalsRowDxfId="1"/>
    <tableColumn id="33" name="Total Days" totalsRowFunction="sum" totalsRowDxfId="0">
      <calculatedColumnFormula>COUNTA(tblJanuary[[#This Row],[1]:[31]])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an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2.xml><?xml version="1.0" encoding="utf-8"?>
<table xmlns="http://schemas.openxmlformats.org/spreadsheetml/2006/main" id="2" name="tblFebruary" displayName="tblFebruary" ref="A4:AG10" totalsRowCount="1">
  <tableColumns count="33">
    <tableColumn id="1" name="Employee Name" totalsRowFunction="custom" dataDxfId="829" totalsRowDxfId="828">
      <totalsRowFormula>MonthName&amp;" Total"</totalsRowFormula>
    </tableColumn>
    <tableColumn id="2" name="1" totalsRowFunction="count" dataDxfId="827" totalsRowDxfId="826"/>
    <tableColumn id="3" name="2" totalsRowFunction="count" dataDxfId="825" totalsRowDxfId="824"/>
    <tableColumn id="4" name="3" totalsRowFunction="count" dataDxfId="823" totalsRowDxfId="822"/>
    <tableColumn id="5" name="4" totalsRowFunction="count" dataDxfId="821" totalsRowDxfId="820"/>
    <tableColumn id="6" name="5" totalsRowFunction="count" dataDxfId="819" totalsRowDxfId="818"/>
    <tableColumn id="7" name="6" totalsRowFunction="count" dataDxfId="817" totalsRowDxfId="816"/>
    <tableColumn id="8" name="7" totalsRowFunction="count" dataDxfId="815" totalsRowDxfId="814"/>
    <tableColumn id="9" name="8" totalsRowFunction="count" dataDxfId="813" totalsRowDxfId="812"/>
    <tableColumn id="10" name="9" totalsRowFunction="count" dataDxfId="811" totalsRowDxfId="810"/>
    <tableColumn id="11" name="10" totalsRowFunction="count" dataDxfId="809" totalsRowDxfId="808"/>
    <tableColumn id="12" name="11" totalsRowFunction="count" dataDxfId="807" totalsRowDxfId="806"/>
    <tableColumn id="13" name="12" totalsRowFunction="count" dataDxfId="805" totalsRowDxfId="804"/>
    <tableColumn id="14" name="13" totalsRowFunction="count" dataDxfId="803" totalsRowDxfId="802"/>
    <tableColumn id="15" name="14" totalsRowFunction="count" dataDxfId="801" totalsRowDxfId="800"/>
    <tableColumn id="16" name="15" totalsRowFunction="count" dataDxfId="799" totalsRowDxfId="798"/>
    <tableColumn id="17" name="16" totalsRowFunction="count" dataDxfId="797" totalsRowDxfId="796"/>
    <tableColumn id="18" name="17" totalsRowFunction="count" dataDxfId="795" totalsRowDxfId="794"/>
    <tableColumn id="19" name="18" totalsRowFunction="count" dataDxfId="793" totalsRowDxfId="792"/>
    <tableColumn id="20" name="19" totalsRowFunction="count" dataDxfId="791" totalsRowDxfId="790"/>
    <tableColumn id="21" name="20" totalsRowFunction="count" dataDxfId="789" totalsRowDxfId="788"/>
    <tableColumn id="22" name="21" totalsRowFunction="count" dataDxfId="787" totalsRowDxfId="786"/>
    <tableColumn id="23" name="22" totalsRowFunction="count" dataDxfId="785" totalsRowDxfId="784"/>
    <tableColumn id="24" name="23" totalsRowFunction="count" dataDxfId="783" totalsRowDxfId="782"/>
    <tableColumn id="25" name="24" totalsRowFunction="count" dataDxfId="781" totalsRowDxfId="780"/>
    <tableColumn id="26" name="25" totalsRowFunction="count" dataDxfId="779" totalsRowDxfId="778"/>
    <tableColumn id="27" name="26" totalsRowFunction="count" dataDxfId="777" totalsRowDxfId="776"/>
    <tableColumn id="28" name="27" totalsRowFunction="count" dataDxfId="775" totalsRowDxfId="774"/>
    <tableColumn id="29" name="28" totalsRowFunction="count" dataDxfId="773" totalsRowDxfId="772"/>
    <tableColumn id="30" name="29" totalsRowFunction="count" dataDxfId="771" totalsRowDxfId="770"/>
    <tableColumn id="31" name=" " dataDxfId="769" totalsRowDxfId="768"/>
    <tableColumn id="32" name="  " dataDxfId="767" totalsRowDxfId="766"/>
    <tableColumn id="33" name="Total Days" totalsRowFunction="sum" totalsRowDxfId="765">
      <calculatedColumnFormula>COUNTA(tblFebruary[[#This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Februar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3.xml><?xml version="1.0" encoding="utf-8"?>
<table xmlns="http://schemas.openxmlformats.org/spreadsheetml/2006/main" id="1" name="tblMarch" displayName="tblMarch" ref="A4:AG10" totalsRowCount="1">
  <tableColumns count="33">
    <tableColumn id="1" name="Employee Name" totalsRowFunction="custom" dataDxfId="759" totalsRowDxfId="758">
      <totalsRowFormula>MonthName&amp;" Total"</totalsRowFormula>
    </tableColumn>
    <tableColumn id="2" name="1" totalsRowFunction="count" dataDxfId="757" totalsRowDxfId="756"/>
    <tableColumn id="3" name="2" totalsRowFunction="count" dataDxfId="755" totalsRowDxfId="754"/>
    <tableColumn id="4" name="3" totalsRowFunction="count" dataDxfId="753" totalsRowDxfId="752"/>
    <tableColumn id="5" name="4" totalsRowFunction="count" dataDxfId="751" totalsRowDxfId="750"/>
    <tableColumn id="6" name="5" totalsRowFunction="count" dataDxfId="749" totalsRowDxfId="748"/>
    <tableColumn id="7" name="6" totalsRowFunction="count" dataDxfId="747" totalsRowDxfId="746"/>
    <tableColumn id="8" name="7" totalsRowFunction="count" dataDxfId="745" totalsRowDxfId="744"/>
    <tableColumn id="9" name="8" totalsRowFunction="count" dataDxfId="743" totalsRowDxfId="742"/>
    <tableColumn id="10" name="9" totalsRowFunction="count" dataDxfId="741" totalsRowDxfId="740"/>
    <tableColumn id="11" name="10" totalsRowFunction="count" dataDxfId="739" totalsRowDxfId="738"/>
    <tableColumn id="12" name="11" totalsRowFunction="count" dataDxfId="737" totalsRowDxfId="736"/>
    <tableColumn id="13" name="12" totalsRowFunction="count" dataDxfId="735" totalsRowDxfId="734"/>
    <tableColumn id="14" name="13" totalsRowFunction="count" dataDxfId="733" totalsRowDxfId="732"/>
    <tableColumn id="15" name="14" totalsRowFunction="count" dataDxfId="731" totalsRowDxfId="730"/>
    <tableColumn id="16" name="15" totalsRowFunction="count" dataDxfId="729" totalsRowDxfId="728"/>
    <tableColumn id="17" name="16" totalsRowFunction="count" dataDxfId="727" totalsRowDxfId="726"/>
    <tableColumn id="18" name="17" totalsRowFunction="count" dataDxfId="725" totalsRowDxfId="724"/>
    <tableColumn id="19" name="18" totalsRowFunction="count" dataDxfId="723" totalsRowDxfId="722"/>
    <tableColumn id="20" name="19" totalsRowFunction="count" dataDxfId="721" totalsRowDxfId="720"/>
    <tableColumn id="21" name="20" totalsRowFunction="count" dataDxfId="719" totalsRowDxfId="718"/>
    <tableColumn id="22" name="21" totalsRowFunction="count" dataDxfId="717" totalsRowDxfId="716"/>
    <tableColumn id="23" name="22" totalsRowFunction="count" dataDxfId="715" totalsRowDxfId="714"/>
    <tableColumn id="24" name="23" totalsRowFunction="count" dataDxfId="713" totalsRowDxfId="712"/>
    <tableColumn id="25" name="24" totalsRowFunction="count" dataDxfId="711" totalsRowDxfId="710"/>
    <tableColumn id="26" name="25" totalsRowFunction="count" dataDxfId="709" totalsRowDxfId="708"/>
    <tableColumn id="27" name="26" totalsRowFunction="count" dataDxfId="707" totalsRowDxfId="706"/>
    <tableColumn id="28" name="27" totalsRowFunction="count" dataDxfId="705" totalsRowDxfId="704"/>
    <tableColumn id="29" name="28" totalsRowFunction="count" dataDxfId="703" totalsRowDxfId="702"/>
    <tableColumn id="30" name="29" totalsRowFunction="count" dataDxfId="701" totalsRowDxfId="700"/>
    <tableColumn id="31" name="30" dataDxfId="699" totalsRowDxfId="698"/>
    <tableColumn id="32" name="31" dataDxfId="697" totalsRowDxfId="696"/>
    <tableColumn id="33" name="Total Days" totalsRowFunction="sum" totalsRowDxfId="695">
      <calculatedColumnFormula>COUNTA(tblMarch[[#This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March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4.xml><?xml version="1.0" encoding="utf-8"?>
<table xmlns="http://schemas.openxmlformats.org/spreadsheetml/2006/main" id="4" name="tblApril" displayName="tblApril" ref="A4:AG10" totalsRowCount="1">
  <tableColumns count="33">
    <tableColumn id="1" name="Employee Name" totalsRowFunction="custom" dataDxfId="689" totalsRowDxfId="688">
      <totalsRowFormula>MonthName&amp;" Total"</totalsRowFormula>
    </tableColumn>
    <tableColumn id="2" name="1" totalsRowFunction="count" dataDxfId="687" totalsRowDxfId="686"/>
    <tableColumn id="3" name="2" totalsRowFunction="count" dataDxfId="685" totalsRowDxfId="684"/>
    <tableColumn id="4" name="3" totalsRowFunction="count" dataDxfId="683" totalsRowDxfId="682"/>
    <tableColumn id="5" name="4" totalsRowFunction="count" dataDxfId="681" totalsRowDxfId="680"/>
    <tableColumn id="6" name="5" totalsRowFunction="count" dataDxfId="679" totalsRowDxfId="678"/>
    <tableColumn id="7" name="6" totalsRowFunction="count" dataDxfId="677" totalsRowDxfId="676"/>
    <tableColumn id="8" name="7" totalsRowFunction="count" dataDxfId="675" totalsRowDxfId="674"/>
    <tableColumn id="9" name="8" totalsRowFunction="count" dataDxfId="673" totalsRowDxfId="672"/>
    <tableColumn id="10" name="9" totalsRowFunction="count" dataDxfId="671" totalsRowDxfId="670"/>
    <tableColumn id="11" name="10" totalsRowFunction="count" dataDxfId="669" totalsRowDxfId="668"/>
    <tableColumn id="12" name="11" totalsRowFunction="count" dataDxfId="667" totalsRowDxfId="666"/>
    <tableColumn id="13" name="12" totalsRowFunction="count" dataDxfId="665" totalsRowDxfId="664"/>
    <tableColumn id="14" name="13" totalsRowFunction="count" dataDxfId="663" totalsRowDxfId="662"/>
    <tableColumn id="15" name="14" totalsRowFunction="count" dataDxfId="661" totalsRowDxfId="660"/>
    <tableColumn id="16" name="15" totalsRowFunction="count" dataDxfId="659" totalsRowDxfId="658"/>
    <tableColumn id="17" name="16" totalsRowFunction="count" dataDxfId="657" totalsRowDxfId="656"/>
    <tableColumn id="18" name="17" totalsRowFunction="count" dataDxfId="655" totalsRowDxfId="654"/>
    <tableColumn id="19" name="18" totalsRowFunction="count" dataDxfId="653" totalsRowDxfId="652"/>
    <tableColumn id="20" name="19" totalsRowFunction="count" dataDxfId="651" totalsRowDxfId="650"/>
    <tableColumn id="21" name="20" totalsRowFunction="count" dataDxfId="649" totalsRowDxfId="648"/>
    <tableColumn id="22" name="21" totalsRowFunction="count" dataDxfId="647" totalsRowDxfId="646"/>
    <tableColumn id="23" name="22" totalsRowFunction="count" dataDxfId="645" totalsRowDxfId="644"/>
    <tableColumn id="24" name="23" totalsRowFunction="count" dataDxfId="643" totalsRowDxfId="642"/>
    <tableColumn id="25" name="24" totalsRowFunction="count" dataDxfId="641" totalsRowDxfId="640"/>
    <tableColumn id="26" name="25" totalsRowFunction="count" dataDxfId="639" totalsRowDxfId="638"/>
    <tableColumn id="27" name="26" totalsRowFunction="count" dataDxfId="637" totalsRowDxfId="636"/>
    <tableColumn id="28" name="27" totalsRowFunction="count" dataDxfId="635" totalsRowDxfId="634"/>
    <tableColumn id="29" name="28" totalsRowFunction="count" dataDxfId="633" totalsRowDxfId="632"/>
    <tableColumn id="30" name="29" totalsRowFunction="count" dataDxfId="631" totalsRowDxfId="630"/>
    <tableColumn id="31" name="30" dataDxfId="629" totalsRowDxfId="628"/>
    <tableColumn id="32" name=" " dataDxfId="627" totalsRowDxfId="626"/>
    <tableColumn id="33" name="Total Days" totalsRowFunction="sum" totalsRowDxfId="625">
      <calculatedColumnFormula>COUNTA(tblApril[[#This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April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5.xml><?xml version="1.0" encoding="utf-8"?>
<table xmlns="http://schemas.openxmlformats.org/spreadsheetml/2006/main" id="5" name="tblMay" displayName="tblMay" ref="A4:AG10" totalsRowCount="1">
  <tableColumns count="33">
    <tableColumn id="1" name="Employee Name" totalsRowFunction="custom" dataDxfId="619" totalsRowDxfId="618">
      <totalsRowFormula>MonthName&amp;" Total"</totalsRowFormula>
    </tableColumn>
    <tableColumn id="2" name="1" totalsRowFunction="count" dataDxfId="617" totalsRowDxfId="616"/>
    <tableColumn id="3" name="2" totalsRowFunction="count" dataDxfId="615" totalsRowDxfId="614"/>
    <tableColumn id="4" name="3" totalsRowFunction="count" dataDxfId="613" totalsRowDxfId="612"/>
    <tableColumn id="5" name="4" totalsRowFunction="count" dataDxfId="611" totalsRowDxfId="610"/>
    <tableColumn id="6" name="5" totalsRowFunction="count" dataDxfId="609" totalsRowDxfId="608"/>
    <tableColumn id="7" name="6" totalsRowFunction="count" dataDxfId="607" totalsRowDxfId="606"/>
    <tableColumn id="8" name="7" totalsRowFunction="count" dataDxfId="605" totalsRowDxfId="604"/>
    <tableColumn id="9" name="8" totalsRowFunction="count" dataDxfId="603" totalsRowDxfId="602"/>
    <tableColumn id="10" name="9" totalsRowFunction="count" dataDxfId="601" totalsRowDxfId="600"/>
    <tableColumn id="11" name="10" totalsRowFunction="count" dataDxfId="599" totalsRowDxfId="598"/>
    <tableColumn id="12" name="11" totalsRowFunction="count" dataDxfId="597" totalsRowDxfId="596"/>
    <tableColumn id="13" name="12" totalsRowFunction="count" dataDxfId="595" totalsRowDxfId="594"/>
    <tableColumn id="14" name="13" totalsRowFunction="count" dataDxfId="593" totalsRowDxfId="592"/>
    <tableColumn id="15" name="14" totalsRowFunction="count" dataDxfId="591" totalsRowDxfId="590"/>
    <tableColumn id="16" name="15" totalsRowFunction="count" dataDxfId="589" totalsRowDxfId="588"/>
    <tableColumn id="17" name="16" totalsRowFunction="count" dataDxfId="587" totalsRowDxfId="586"/>
    <tableColumn id="18" name="17" totalsRowFunction="count" dataDxfId="585" totalsRowDxfId="584"/>
    <tableColumn id="19" name="18" totalsRowFunction="count" dataDxfId="583" totalsRowDxfId="582"/>
    <tableColumn id="20" name="19" totalsRowFunction="count" dataDxfId="581" totalsRowDxfId="580"/>
    <tableColumn id="21" name="20" totalsRowFunction="count" dataDxfId="579" totalsRowDxfId="578"/>
    <tableColumn id="22" name="21" totalsRowFunction="count" dataDxfId="577" totalsRowDxfId="576"/>
    <tableColumn id="23" name="22" totalsRowFunction="count" dataDxfId="575" totalsRowDxfId="574"/>
    <tableColumn id="24" name="23" totalsRowFunction="count" dataDxfId="573" totalsRowDxfId="572"/>
    <tableColumn id="25" name="24" totalsRowFunction="count" dataDxfId="571" totalsRowDxfId="570"/>
    <tableColumn id="26" name="25" totalsRowFunction="count" dataDxfId="569" totalsRowDxfId="568"/>
    <tableColumn id="27" name="26" totalsRowFunction="count" dataDxfId="567" totalsRowDxfId="566"/>
    <tableColumn id="28" name="27" totalsRowFunction="count" dataDxfId="565" totalsRowDxfId="564"/>
    <tableColumn id="29" name="28" totalsRowFunction="count" dataDxfId="563" totalsRowDxfId="562"/>
    <tableColumn id="30" name="29" totalsRowFunction="count" dataDxfId="561" totalsRowDxfId="560"/>
    <tableColumn id="31" name="30" dataDxfId="559" totalsRowDxfId="558"/>
    <tableColumn id="32" name="31" dataDxfId="557" totalsRowDxfId="556"/>
    <tableColumn id="33" name="Total Days" totalsRowFunction="sum" totalsRowDxfId="555">
      <calculatedColumnFormula>COUNTA(tblMay[[#This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Ma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6.xml><?xml version="1.0" encoding="utf-8"?>
<table xmlns="http://schemas.openxmlformats.org/spreadsheetml/2006/main" id="6" name="tblJune" displayName="tblJune" ref="A4:AG10" totalsRowCount="1">
  <tableColumns count="33">
    <tableColumn id="1" name="Employee Name" totalsRowFunction="custom" dataDxfId="549" totalsRowDxfId="548">
      <totalsRowFormula>MonthName&amp;" Total"</totalsRowFormula>
    </tableColumn>
    <tableColumn id="2" name="1" totalsRowFunction="count" dataDxfId="547" totalsRowDxfId="546"/>
    <tableColumn id="3" name="2" totalsRowFunction="count" dataDxfId="545" totalsRowDxfId="544"/>
    <tableColumn id="4" name="3" totalsRowFunction="count" dataDxfId="543" totalsRowDxfId="542"/>
    <tableColumn id="5" name="4" totalsRowFunction="count" dataDxfId="541" totalsRowDxfId="540"/>
    <tableColumn id="6" name="5" totalsRowFunction="count" dataDxfId="539" totalsRowDxfId="538"/>
    <tableColumn id="7" name="6" totalsRowFunction="count" dataDxfId="537" totalsRowDxfId="536"/>
    <tableColumn id="8" name="7" totalsRowFunction="count" dataDxfId="535" totalsRowDxfId="534"/>
    <tableColumn id="9" name="8" totalsRowFunction="count" dataDxfId="533" totalsRowDxfId="532"/>
    <tableColumn id="10" name="9" totalsRowFunction="count" dataDxfId="531" totalsRowDxfId="530"/>
    <tableColumn id="11" name="10" totalsRowFunction="count" dataDxfId="529" totalsRowDxfId="528"/>
    <tableColumn id="12" name="11" totalsRowFunction="count" dataDxfId="527" totalsRowDxfId="526"/>
    <tableColumn id="13" name="12" totalsRowFunction="count" dataDxfId="525" totalsRowDxfId="524"/>
    <tableColumn id="14" name="13" totalsRowFunction="count" dataDxfId="523" totalsRowDxfId="522"/>
    <tableColumn id="15" name="14" totalsRowFunction="count" dataDxfId="521" totalsRowDxfId="520"/>
    <tableColumn id="16" name="15" totalsRowFunction="count" dataDxfId="519" totalsRowDxfId="518"/>
    <tableColumn id="17" name="16" totalsRowFunction="count" dataDxfId="517" totalsRowDxfId="516"/>
    <tableColumn id="18" name="17" totalsRowFunction="count" dataDxfId="515" totalsRowDxfId="514"/>
    <tableColumn id="19" name="18" totalsRowFunction="count" dataDxfId="513" totalsRowDxfId="512"/>
    <tableColumn id="20" name="19" totalsRowFunction="count" dataDxfId="511" totalsRowDxfId="510"/>
    <tableColumn id="21" name="20" totalsRowFunction="count" dataDxfId="509" totalsRowDxfId="508"/>
    <tableColumn id="22" name="21" totalsRowFunction="count" dataDxfId="507" totalsRowDxfId="506"/>
    <tableColumn id="23" name="22" totalsRowFunction="count" dataDxfId="505" totalsRowDxfId="504"/>
    <tableColumn id="24" name="23" totalsRowFunction="count" dataDxfId="503" totalsRowDxfId="502"/>
    <tableColumn id="25" name="24" totalsRowFunction="count" dataDxfId="501" totalsRowDxfId="500"/>
    <tableColumn id="26" name="25" totalsRowFunction="count" dataDxfId="499" totalsRowDxfId="498"/>
    <tableColumn id="27" name="26" totalsRowFunction="count" dataDxfId="497" totalsRowDxfId="496"/>
    <tableColumn id="28" name="27" totalsRowFunction="count" dataDxfId="495" totalsRowDxfId="494"/>
    <tableColumn id="29" name="28" totalsRowFunction="count" dataDxfId="493" totalsRowDxfId="492"/>
    <tableColumn id="30" name="29" totalsRowFunction="count" dataDxfId="491" totalsRowDxfId="490"/>
    <tableColumn id="31" name="30" dataDxfId="489" totalsRowDxfId="488"/>
    <tableColumn id="32" name=" " dataDxfId="487" totalsRowDxfId="486"/>
    <tableColumn id="33" name="Total Days" totalsRowFunction="sum" totalsRowDxfId="485">
      <calculatedColumnFormula>COUNTA(tblJune[[#This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une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7.xml><?xml version="1.0" encoding="utf-8"?>
<table xmlns="http://schemas.openxmlformats.org/spreadsheetml/2006/main" id="7" name="tblJuly" displayName="tblJuly" ref="A4:AG10" totalsRowCount="1">
  <tableColumns count="33">
    <tableColumn id="1" name="Employee Name" totalsRowFunction="custom" dataDxfId="479" totalsRowDxfId="478">
      <totalsRowFormula>MonthName&amp;" Total"</totalsRowFormula>
    </tableColumn>
    <tableColumn id="2" name="1" totalsRowFunction="count" dataDxfId="477" totalsRowDxfId="476"/>
    <tableColumn id="3" name="2" totalsRowFunction="count" dataDxfId="475" totalsRowDxfId="474"/>
    <tableColumn id="4" name="3" totalsRowFunction="count" dataDxfId="473" totalsRowDxfId="472"/>
    <tableColumn id="5" name="4" totalsRowFunction="count" dataDxfId="471" totalsRowDxfId="470"/>
    <tableColumn id="6" name="5" totalsRowFunction="count" dataDxfId="469" totalsRowDxfId="468"/>
    <tableColumn id="7" name="6" totalsRowFunction="count" dataDxfId="467" totalsRowDxfId="466"/>
    <tableColumn id="8" name="7" totalsRowFunction="count" dataDxfId="465" totalsRowDxfId="464"/>
    <tableColumn id="9" name="8" totalsRowFunction="count" dataDxfId="463" totalsRowDxfId="462"/>
    <tableColumn id="10" name="9" totalsRowFunction="count" dataDxfId="461" totalsRowDxfId="460"/>
    <tableColumn id="11" name="10" totalsRowFunction="count" dataDxfId="459" totalsRowDxfId="458"/>
    <tableColumn id="12" name="11" totalsRowFunction="count" dataDxfId="457" totalsRowDxfId="456"/>
    <tableColumn id="13" name="12" totalsRowFunction="count" dataDxfId="455" totalsRowDxfId="454"/>
    <tableColumn id="14" name="13" totalsRowFunction="count" dataDxfId="453" totalsRowDxfId="452"/>
    <tableColumn id="15" name="14" totalsRowFunction="count" dataDxfId="451" totalsRowDxfId="450"/>
    <tableColumn id="16" name="15" totalsRowFunction="count" dataDxfId="449" totalsRowDxfId="448"/>
    <tableColumn id="17" name="16" totalsRowFunction="count" dataDxfId="447" totalsRowDxfId="446"/>
    <tableColumn id="18" name="17" totalsRowFunction="count" dataDxfId="445" totalsRowDxfId="444"/>
    <tableColumn id="19" name="18" totalsRowFunction="count" dataDxfId="443" totalsRowDxfId="442"/>
    <tableColumn id="20" name="19" totalsRowFunction="count" dataDxfId="441" totalsRowDxfId="440"/>
    <tableColumn id="21" name="20" totalsRowFunction="count" dataDxfId="439" totalsRowDxfId="438"/>
    <tableColumn id="22" name="21" totalsRowFunction="count" dataDxfId="437" totalsRowDxfId="436"/>
    <tableColumn id="23" name="22" totalsRowFunction="count" dataDxfId="435" totalsRowDxfId="434"/>
    <tableColumn id="24" name="23" totalsRowFunction="count" dataDxfId="433" totalsRowDxfId="432"/>
    <tableColumn id="25" name="24" totalsRowFunction="count" dataDxfId="431" totalsRowDxfId="430"/>
    <tableColumn id="26" name="25" totalsRowFunction="count" dataDxfId="429" totalsRowDxfId="428"/>
    <tableColumn id="27" name="26" totalsRowFunction="count" dataDxfId="427" totalsRowDxfId="426"/>
    <tableColumn id="28" name="27" totalsRowFunction="count" dataDxfId="425" totalsRowDxfId="424"/>
    <tableColumn id="29" name="28" totalsRowFunction="count" dataDxfId="423" totalsRowDxfId="422"/>
    <tableColumn id="30" name="29" totalsRowFunction="count" dataDxfId="421" totalsRowDxfId="420"/>
    <tableColumn id="31" name="30" dataDxfId="419" totalsRowDxfId="418"/>
    <tableColumn id="32" name="31" dataDxfId="417" totalsRowDxfId="416"/>
    <tableColumn id="33" name="Total Days" totalsRowFunction="sum" totalsRowDxfId="415">
      <calculatedColumnFormula>COUNTA(tblJuly[[#This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July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8.xml><?xml version="1.0" encoding="utf-8"?>
<table xmlns="http://schemas.openxmlformats.org/spreadsheetml/2006/main" id="8" name="tblAugust" displayName="tblAugust" ref="A4:AG10" totalsRowCount="1">
  <tableColumns count="33">
    <tableColumn id="1" name="Employee Name" totalsRowFunction="custom" dataDxfId="409" totalsRowDxfId="408">
      <totalsRowFormula>MonthName&amp;" Total"</totalsRowFormula>
    </tableColumn>
    <tableColumn id="2" name="1" totalsRowFunction="count" dataDxfId="407" totalsRowDxfId="406"/>
    <tableColumn id="3" name="2" totalsRowFunction="count" dataDxfId="405" totalsRowDxfId="404"/>
    <tableColumn id="4" name="3" totalsRowFunction="count" dataDxfId="403" totalsRowDxfId="402"/>
    <tableColumn id="5" name="4" totalsRowFunction="count" dataDxfId="401" totalsRowDxfId="400"/>
    <tableColumn id="6" name="5" totalsRowFunction="count" dataDxfId="399" totalsRowDxfId="398"/>
    <tableColumn id="7" name="6" totalsRowFunction="count" dataDxfId="397" totalsRowDxfId="396"/>
    <tableColumn id="8" name="7" totalsRowFunction="count" dataDxfId="395" totalsRowDxfId="394"/>
    <tableColumn id="9" name="8" totalsRowFunction="count" dataDxfId="393" totalsRowDxfId="392"/>
    <tableColumn id="10" name="9" totalsRowFunction="count" dataDxfId="391" totalsRowDxfId="390"/>
    <tableColumn id="11" name="10" totalsRowFunction="count" dataDxfId="389" totalsRowDxfId="388"/>
    <tableColumn id="12" name="11" totalsRowFunction="count" dataDxfId="387" totalsRowDxfId="386"/>
    <tableColumn id="13" name="12" totalsRowFunction="count" dataDxfId="385" totalsRowDxfId="384"/>
    <tableColumn id="14" name="13" totalsRowFunction="count" dataDxfId="383" totalsRowDxfId="382"/>
    <tableColumn id="15" name="14" totalsRowFunction="count" dataDxfId="381" totalsRowDxfId="380"/>
    <tableColumn id="16" name="15" totalsRowFunction="count" dataDxfId="379" totalsRowDxfId="378"/>
    <tableColumn id="17" name="16" totalsRowFunction="count" dataDxfId="377" totalsRowDxfId="376"/>
    <tableColumn id="18" name="17" totalsRowFunction="count" dataDxfId="375" totalsRowDxfId="374"/>
    <tableColumn id="19" name="18" totalsRowFunction="count" dataDxfId="373" totalsRowDxfId="372"/>
    <tableColumn id="20" name="19" totalsRowFunction="count" dataDxfId="371" totalsRowDxfId="370"/>
    <tableColumn id="21" name="20" totalsRowFunction="count" dataDxfId="369" totalsRowDxfId="368"/>
    <tableColumn id="22" name="21" totalsRowFunction="count" dataDxfId="367" totalsRowDxfId="366"/>
    <tableColumn id="23" name="22" totalsRowFunction="count" dataDxfId="365" totalsRowDxfId="364"/>
    <tableColumn id="24" name="23" totalsRowFunction="count" dataDxfId="363" totalsRowDxfId="362"/>
    <tableColumn id="25" name="24" totalsRowFunction="count" dataDxfId="361" totalsRowDxfId="360"/>
    <tableColumn id="26" name="25" totalsRowFunction="count" dataDxfId="359" totalsRowDxfId="358"/>
    <tableColumn id="27" name="26" totalsRowFunction="count" dataDxfId="357" totalsRowDxfId="356"/>
    <tableColumn id="28" name="27" totalsRowFunction="count" dataDxfId="355" totalsRowDxfId="354"/>
    <tableColumn id="29" name="28" totalsRowFunction="count" dataDxfId="353" totalsRowDxfId="352"/>
    <tableColumn id="30" name="29" totalsRowFunction="count" dataDxfId="351" totalsRowDxfId="350"/>
    <tableColumn id="31" name="30" dataDxfId="349" totalsRowDxfId="348"/>
    <tableColumn id="32" name="31" dataDxfId="347" totalsRowDxfId="346"/>
    <tableColumn id="33" name="Total Days" totalsRowFunction="sum" totalsRowDxfId="345">
      <calculatedColumnFormula>COUNTA(tblAugust[[#This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August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9.xml><?xml version="1.0" encoding="utf-8"?>
<table xmlns="http://schemas.openxmlformats.org/spreadsheetml/2006/main" id="9" name="tblSeptember" displayName="tblSeptember" ref="A4:AG10" totalsRowCount="1">
  <tableColumns count="33">
    <tableColumn id="1" name="Employee Name" totalsRowFunction="custom" dataDxfId="339" totalsRowDxfId="338">
      <totalsRowFormula>MonthName&amp;" Total"</totalsRowFormula>
    </tableColumn>
    <tableColumn id="2" name="1" totalsRowFunction="count" dataDxfId="337" totalsRowDxfId="336"/>
    <tableColumn id="3" name="2" totalsRowFunction="count" dataDxfId="335" totalsRowDxfId="334"/>
    <tableColumn id="4" name="3" totalsRowFunction="count" dataDxfId="333" totalsRowDxfId="332"/>
    <tableColumn id="5" name="4" totalsRowFunction="count" dataDxfId="331" totalsRowDxfId="330"/>
    <tableColumn id="6" name="5" totalsRowFunction="count" dataDxfId="329" totalsRowDxfId="328"/>
    <tableColumn id="7" name="6" totalsRowFunction="count" dataDxfId="327" totalsRowDxfId="326"/>
    <tableColumn id="8" name="7" totalsRowFunction="count" dataDxfId="325" totalsRowDxfId="324"/>
    <tableColumn id="9" name="8" totalsRowFunction="count" dataDxfId="323" totalsRowDxfId="322"/>
    <tableColumn id="10" name="9" totalsRowFunction="count" dataDxfId="321" totalsRowDxfId="320"/>
    <tableColumn id="11" name="10" totalsRowFunction="count" dataDxfId="319" totalsRowDxfId="318"/>
    <tableColumn id="12" name="11" totalsRowFunction="count" dataDxfId="317" totalsRowDxfId="316"/>
    <tableColumn id="13" name="12" totalsRowFunction="count" dataDxfId="315" totalsRowDxfId="314"/>
    <tableColumn id="14" name="13" totalsRowFunction="count" dataDxfId="313" totalsRowDxfId="312"/>
    <tableColumn id="15" name="14" totalsRowFunction="count" dataDxfId="311" totalsRowDxfId="310"/>
    <tableColumn id="16" name="15" totalsRowFunction="count" dataDxfId="309" totalsRowDxfId="308"/>
    <tableColumn id="17" name="16" totalsRowFunction="count" dataDxfId="307" totalsRowDxfId="306"/>
    <tableColumn id="18" name="17" totalsRowFunction="count" dataDxfId="305" totalsRowDxfId="304"/>
    <tableColumn id="19" name="18" totalsRowFunction="count" dataDxfId="303" totalsRowDxfId="302"/>
    <tableColumn id="20" name="19" totalsRowFunction="count" dataDxfId="301" totalsRowDxfId="300"/>
    <tableColumn id="21" name="20" totalsRowFunction="count" dataDxfId="299" totalsRowDxfId="298"/>
    <tableColumn id="22" name="21" totalsRowFunction="count" dataDxfId="297" totalsRowDxfId="296"/>
    <tableColumn id="23" name="22" totalsRowFunction="count" dataDxfId="295" totalsRowDxfId="294"/>
    <tableColumn id="24" name="23" totalsRowFunction="count" dataDxfId="293" totalsRowDxfId="292"/>
    <tableColumn id="25" name="24" totalsRowFunction="count" dataDxfId="291" totalsRowDxfId="290"/>
    <tableColumn id="26" name="25" totalsRowFunction="count" dataDxfId="289" totalsRowDxfId="288"/>
    <tableColumn id="27" name="26" totalsRowFunction="count" dataDxfId="287" totalsRowDxfId="286"/>
    <tableColumn id="28" name="27" totalsRowFunction="count" dataDxfId="285" totalsRowDxfId="284"/>
    <tableColumn id="29" name="28" totalsRowFunction="count" dataDxfId="283" totalsRowDxfId="282"/>
    <tableColumn id="30" name="29" totalsRowFunction="count" dataDxfId="281" totalsRowDxfId="280"/>
    <tableColumn id="31" name="30" dataDxfId="279" totalsRowDxfId="278"/>
    <tableColumn id="32" name=" " dataDxfId="277" totalsRowDxfId="276"/>
    <tableColumn id="33" name="Total Days" totalsRowFunction="sum" totalsRowDxfId="275">
      <calculatedColumnFormula>COUNTA(tblSeptember[[#This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September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0.xml><?xml version="1.0" encoding="utf-8"?>
<table xmlns="http://schemas.openxmlformats.org/spreadsheetml/2006/main" id="11" name="tblOctober" displayName="tblOctober" ref="A4:AG10" totalsRowCount="1">
  <tableColumns count="33">
    <tableColumn id="1" name="Employee Name" totalsRowFunction="custom" dataDxfId="269" totalsRowDxfId="268">
      <totalsRowFormula>MonthName&amp;" Total"</totalsRowFormula>
    </tableColumn>
    <tableColumn id="2" name="1" totalsRowFunction="count" dataDxfId="267" totalsRowDxfId="266"/>
    <tableColumn id="3" name="2" totalsRowFunction="count" dataDxfId="265" totalsRowDxfId="264"/>
    <tableColumn id="4" name="3" totalsRowFunction="count" dataDxfId="263" totalsRowDxfId="262"/>
    <tableColumn id="5" name="4" totalsRowFunction="count" dataDxfId="261" totalsRowDxfId="260"/>
    <tableColumn id="6" name="5" totalsRowFunction="count" dataDxfId="259" totalsRowDxfId="258"/>
    <tableColumn id="7" name="6" totalsRowFunction="count" dataDxfId="257" totalsRowDxfId="256"/>
    <tableColumn id="8" name="7" totalsRowFunction="count" dataDxfId="255" totalsRowDxfId="254"/>
    <tableColumn id="9" name="8" totalsRowFunction="count" dataDxfId="253" totalsRowDxfId="252"/>
    <tableColumn id="10" name="9" totalsRowFunction="count" dataDxfId="251" totalsRowDxfId="250"/>
    <tableColumn id="11" name="10" totalsRowFunction="count" dataDxfId="249" totalsRowDxfId="248"/>
    <tableColumn id="12" name="11" totalsRowFunction="count" dataDxfId="247" totalsRowDxfId="246"/>
    <tableColumn id="13" name="12" totalsRowFunction="count" dataDxfId="245" totalsRowDxfId="244"/>
    <tableColumn id="14" name="13" totalsRowFunction="count" dataDxfId="243" totalsRowDxfId="242"/>
    <tableColumn id="15" name="14" totalsRowFunction="count" dataDxfId="241" totalsRowDxfId="240"/>
    <tableColumn id="16" name="15" totalsRowFunction="count" dataDxfId="239" totalsRowDxfId="238"/>
    <tableColumn id="17" name="16" totalsRowFunction="count" dataDxfId="237" totalsRowDxfId="236"/>
    <tableColumn id="18" name="17" totalsRowFunction="count" dataDxfId="235" totalsRowDxfId="234"/>
    <tableColumn id="19" name="18" totalsRowFunction="count" dataDxfId="233" totalsRowDxfId="232"/>
    <tableColumn id="20" name="19" totalsRowFunction="count" dataDxfId="231" totalsRowDxfId="230"/>
    <tableColumn id="21" name="20" totalsRowFunction="count" dataDxfId="229" totalsRowDxfId="228"/>
    <tableColumn id="22" name="21" totalsRowFunction="count" dataDxfId="227" totalsRowDxfId="226"/>
    <tableColumn id="23" name="22" totalsRowFunction="count" dataDxfId="225" totalsRowDxfId="224"/>
    <tableColumn id="24" name="23" totalsRowFunction="count" dataDxfId="223" totalsRowDxfId="222"/>
    <tableColumn id="25" name="24" totalsRowFunction="count" dataDxfId="221" totalsRowDxfId="220"/>
    <tableColumn id="26" name="25" totalsRowFunction="count" dataDxfId="219" totalsRowDxfId="218"/>
    <tableColumn id="27" name="26" totalsRowFunction="count" dataDxfId="217" totalsRowDxfId="216"/>
    <tableColumn id="28" name="27" totalsRowFunction="count" dataDxfId="215" totalsRowDxfId="214"/>
    <tableColumn id="29" name="28" totalsRowFunction="count" dataDxfId="213" totalsRowDxfId="212"/>
    <tableColumn id="30" name="29" totalsRowFunction="count" dataDxfId="211" totalsRowDxfId="210"/>
    <tableColumn id="31" name="30" dataDxfId="209" totalsRowDxfId="208"/>
    <tableColumn id="32" name="31" dataDxfId="207" totalsRowDxfId="206"/>
    <tableColumn id="33" name="Total Days" totalsRowFunction="sum" totalsRowDxfId="205">
      <calculatedColumnFormula>COUNTA(tblOctober[[#This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October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1.xml><?xml version="1.0" encoding="utf-8"?>
<table xmlns="http://schemas.openxmlformats.org/spreadsheetml/2006/main" id="10" name="tblNovember" displayName="tblNovember" ref="A4:AG10" totalsRowCount="1">
  <tableColumns count="33">
    <tableColumn id="1" name="Employee Name" totalsRowFunction="custom" dataDxfId="199" totalsRowDxfId="198">
      <totalsRowFormula>MonthName&amp;" Total"</totalsRowFormula>
    </tableColumn>
    <tableColumn id="2" name="1" totalsRowFunction="count" dataDxfId="197" totalsRowDxfId="196"/>
    <tableColumn id="3" name="2" totalsRowFunction="count" dataDxfId="195" totalsRowDxfId="194"/>
    <tableColumn id="4" name="3" totalsRowFunction="count" dataDxfId="193" totalsRowDxfId="192"/>
    <tableColumn id="5" name="4" totalsRowFunction="count" dataDxfId="191" totalsRowDxfId="190"/>
    <tableColumn id="6" name="5" totalsRowFunction="count" dataDxfId="189" totalsRowDxfId="188"/>
    <tableColumn id="7" name="6" totalsRowFunction="count" dataDxfId="187" totalsRowDxfId="186"/>
    <tableColumn id="8" name="7" totalsRowFunction="count" dataDxfId="185" totalsRowDxfId="184"/>
    <tableColumn id="9" name="8" totalsRowFunction="count" dataDxfId="183" totalsRowDxfId="182"/>
    <tableColumn id="10" name="9" totalsRowFunction="count" dataDxfId="181" totalsRowDxfId="180"/>
    <tableColumn id="11" name="10" totalsRowFunction="count" dataDxfId="179" totalsRowDxfId="178"/>
    <tableColumn id="12" name="11" totalsRowFunction="count" dataDxfId="177" totalsRowDxfId="176"/>
    <tableColumn id="13" name="12" totalsRowFunction="count" dataDxfId="175" totalsRowDxfId="174"/>
    <tableColumn id="14" name="13" totalsRowFunction="count" dataDxfId="173" totalsRowDxfId="172"/>
    <tableColumn id="15" name="14" totalsRowFunction="count" dataDxfId="171" totalsRowDxfId="170"/>
    <tableColumn id="16" name="15" totalsRowFunction="count" dataDxfId="169" totalsRowDxfId="168"/>
    <tableColumn id="17" name="16" totalsRowFunction="count" dataDxfId="167" totalsRowDxfId="166"/>
    <tableColumn id="18" name="17" totalsRowFunction="count" dataDxfId="165" totalsRowDxfId="164"/>
    <tableColumn id="19" name="18" totalsRowFunction="count" dataDxfId="163" totalsRowDxfId="162"/>
    <tableColumn id="20" name="19" totalsRowFunction="count" dataDxfId="161" totalsRowDxfId="160"/>
    <tableColumn id="21" name="20" totalsRowFunction="count" dataDxfId="159" totalsRowDxfId="158"/>
    <tableColumn id="22" name="21" totalsRowFunction="count" dataDxfId="157" totalsRowDxfId="156"/>
    <tableColumn id="23" name="22" totalsRowFunction="count" dataDxfId="155" totalsRowDxfId="154"/>
    <tableColumn id="24" name="23" totalsRowFunction="count" dataDxfId="153" totalsRowDxfId="152"/>
    <tableColumn id="25" name="24" totalsRowFunction="count" dataDxfId="151" totalsRowDxfId="150"/>
    <tableColumn id="26" name="25" totalsRowFunction="count" dataDxfId="149" totalsRowDxfId="148"/>
    <tableColumn id="27" name="26" totalsRowFunction="count" dataDxfId="147" totalsRowDxfId="146"/>
    <tableColumn id="28" name="27" totalsRowFunction="count" dataDxfId="145" totalsRowDxfId="144"/>
    <tableColumn id="29" name="28" totalsRowFunction="count" dataDxfId="143" totalsRowDxfId="142"/>
    <tableColumn id="30" name="29" totalsRowFunction="count" dataDxfId="141" totalsRowDxfId="140"/>
    <tableColumn id="31" name="30" dataDxfId="139" totalsRowDxfId="138"/>
    <tableColumn id="32" name=" " dataDxfId="137" totalsRowDxfId="136"/>
    <tableColumn id="33" name="Total Days" totalsRowFunction="sum" totalsRowDxfId="135">
      <calculatedColumnFormula>COUNTA(tblNovember[[#This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November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ables/table12.xml><?xml version="1.0" encoding="utf-8"?>
<table xmlns="http://schemas.openxmlformats.org/spreadsheetml/2006/main" id="12" name="tblDecember" displayName="tblDecember" ref="A4:AG10" totalsRowCount="1">
  <tableColumns count="33">
    <tableColumn id="1" name="Employee Name" totalsRowFunction="custom" dataDxfId="129" totalsRowDxfId="128">
      <totalsRowFormula>MonthName&amp;" Total"</totalsRowFormula>
    </tableColumn>
    <tableColumn id="2" name="1" totalsRowFunction="count" dataDxfId="127" totalsRowDxfId="126"/>
    <tableColumn id="3" name="2" totalsRowFunction="count" dataDxfId="125" totalsRowDxfId="124"/>
    <tableColumn id="4" name="3" totalsRowFunction="count" dataDxfId="123" totalsRowDxfId="122"/>
    <tableColumn id="5" name="4" totalsRowFunction="count" dataDxfId="121" totalsRowDxfId="120"/>
    <tableColumn id="6" name="5" totalsRowFunction="count" dataDxfId="119" totalsRowDxfId="118"/>
    <tableColumn id="7" name="6" totalsRowFunction="count" dataDxfId="117" totalsRowDxfId="116"/>
    <tableColumn id="8" name="7" totalsRowFunction="count" dataDxfId="115" totalsRowDxfId="114"/>
    <tableColumn id="9" name="8" totalsRowFunction="count" dataDxfId="113" totalsRowDxfId="112"/>
    <tableColumn id="10" name="9" totalsRowFunction="count" dataDxfId="111" totalsRowDxfId="110"/>
    <tableColumn id="11" name="10" totalsRowFunction="count" dataDxfId="109" totalsRowDxfId="108"/>
    <tableColumn id="12" name="11" totalsRowFunction="count" dataDxfId="107" totalsRowDxfId="106"/>
    <tableColumn id="13" name="12" totalsRowFunction="count" dataDxfId="105" totalsRowDxfId="104"/>
    <tableColumn id="14" name="13" totalsRowFunction="count" dataDxfId="103" totalsRowDxfId="102"/>
    <tableColumn id="15" name="14" totalsRowFunction="count" dataDxfId="101" totalsRowDxfId="100"/>
    <tableColumn id="16" name="15" totalsRowFunction="count" dataDxfId="99" totalsRowDxfId="98"/>
    <tableColumn id="17" name="16" totalsRowFunction="count" dataDxfId="97" totalsRowDxfId="96"/>
    <tableColumn id="18" name="17" totalsRowFunction="count" dataDxfId="95" totalsRowDxfId="94"/>
    <tableColumn id="19" name="18" totalsRowFunction="count" dataDxfId="93" totalsRowDxfId="92"/>
    <tableColumn id="20" name="19" totalsRowFunction="count" dataDxfId="91" totalsRowDxfId="90"/>
    <tableColumn id="21" name="20" totalsRowFunction="count" dataDxfId="89" totalsRowDxfId="88"/>
    <tableColumn id="22" name="21" totalsRowFunction="count" dataDxfId="87" totalsRowDxfId="86"/>
    <tableColumn id="23" name="22" totalsRowFunction="count" dataDxfId="85" totalsRowDxfId="84"/>
    <tableColumn id="24" name="23" totalsRowFunction="count" dataDxfId="83" totalsRowDxfId="82"/>
    <tableColumn id="25" name="24" totalsRowFunction="count" dataDxfId="81" totalsRowDxfId="80"/>
    <tableColumn id="26" name="25" totalsRowFunction="count" dataDxfId="79" totalsRowDxfId="78"/>
    <tableColumn id="27" name="26" totalsRowFunction="count" dataDxfId="77" totalsRowDxfId="76"/>
    <tableColumn id="28" name="27" totalsRowFunction="count" dataDxfId="75" totalsRowDxfId="74"/>
    <tableColumn id="29" name="28" totalsRowFunction="count" dataDxfId="73" totalsRowDxfId="72"/>
    <tableColumn id="30" name="29" totalsRowFunction="count" dataDxfId="71" totalsRowDxfId="70"/>
    <tableColumn id="31" name="30" dataDxfId="69" totalsRowDxfId="68"/>
    <tableColumn id="32" name="31" dataDxfId="67" totalsRowDxfId="66"/>
    <tableColumn id="33" name="Total Days" totalsRowFunction="sum" totalsRowDxfId="65">
      <calculatedColumnFormula>COUNTA(tblDecember[[#This Row],[1]:[29]])</calculatedColumnFormula>
    </tableColumn>
  </tableColumns>
  <tableStyleInfo name="Employee Absence Table" showFirstColumn="1" showLastColumn="1" showRowStripes="1" showColumnStripes="0"/>
  <extLst>
    <ext xmlns:x14="http://schemas.microsoft.com/office/spreadsheetml/2009/9/main" uri="{504A1905-F514-4f6f-8877-14C23A59335A}">
      <x14:table altText="December Employee Absence Schedule" altTextSummary="Provides a list of names and calendar dates to record employee absences and specific absence type, such as V=Vacation, S=Sick, P=Personal and two placeholders for custom entries."/>
    </ext>
  </extLst>
</table>
</file>

<file path=xl/theme/theme1.xml><?xml version="1.0" encoding="utf-8"?>
<a:theme xmlns:a="http://schemas.openxmlformats.org/drawingml/2006/main" name="Office Theme">
  <a:themeElements>
    <a:clrScheme name="Employee Absence Schedule">
      <a:dk1>
        <a:sysClr val="windowText" lastClr="000000"/>
      </a:dk1>
      <a:lt1>
        <a:sysClr val="window" lastClr="FFFFFF"/>
      </a:lt1>
      <a:dk2>
        <a:srgbClr val="4B180E"/>
      </a:dk2>
      <a:lt2>
        <a:srgbClr val="F1F2E8"/>
      </a:lt2>
      <a:accent1>
        <a:srgbClr val="A53423"/>
      </a:accent1>
      <a:accent2>
        <a:srgbClr val="E68130"/>
      </a:accent2>
      <a:accent3>
        <a:srgbClr val="9BB05D"/>
      </a:accent3>
      <a:accent4>
        <a:srgbClr val="CC9900"/>
      </a:accent4>
      <a:accent5>
        <a:srgbClr val="4F66AF"/>
      </a:accent5>
      <a:accent6>
        <a:srgbClr val="D0D2D3"/>
      </a:accent6>
      <a:hlink>
        <a:srgbClr val="4F66AF"/>
      </a:hlink>
      <a:folHlink>
        <a:srgbClr val="6B9AC6"/>
      </a:folHlink>
    </a:clrScheme>
    <a:fontScheme name="Employee Absence Schedul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5"/>
  <sheetViews>
    <sheetView workbookViewId="0">
      <selection activeCell="E5" sqref="E5"/>
    </sheetView>
  </sheetViews>
  <sheetFormatPr defaultRowHeight="14.5" x14ac:dyDescent="0.35"/>
  <cols>
    <col min="3" max="3" width="24.453125" customWidth="1"/>
    <col min="4" max="4" width="19.7265625" customWidth="1"/>
    <col min="5" max="5" width="18.453125" customWidth="1"/>
    <col min="6" max="6" width="22.26953125" customWidth="1"/>
  </cols>
  <sheetData>
    <row r="3" spans="3:6" x14ac:dyDescent="0.35">
      <c r="C3" t="s">
        <v>68</v>
      </c>
    </row>
    <row r="4" spans="3:6" x14ac:dyDescent="0.35">
      <c r="D4" s="49" t="s">
        <v>64</v>
      </c>
      <c r="E4" s="49" t="s">
        <v>65</v>
      </c>
      <c r="F4" s="49" t="s">
        <v>66</v>
      </c>
    </row>
    <row r="5" spans="3:6" x14ac:dyDescent="0.35">
      <c r="C5" t="s">
        <v>67</v>
      </c>
      <c r="D5">
        <f>SUM(tblJanuary[[#Totals],[Total Days]],tblFebruary[[#Totals],[Total Days]],tblMarch[[#Totals],[Total Days]],tblMay[[#Totals],[Total Days]],tblJune[[#Totals],[Total Days]],tblJuly[[#Totals],[Total Days]],tblAugust[[#Totals],[Total Days]],tblSeptember[[#Totals],[Total Days]],tblOctober[[#Totals],[Total Days]],tblDecember[[#Totals],[Total Days]],tblApril[[#Totals],[Total Days]],tblNovember[[#Totals],[Total Days]])</f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400"/>
  <sheetViews>
    <sheetView showGridLines="0" tabSelected="1" zoomScale="110" zoomScaleNormal="110" workbookViewId="0">
      <selection activeCell="C31" sqref="C31"/>
    </sheetView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32" customFormat="1" ht="50.25" customHeight="1" x14ac:dyDescent="0.35">
      <c r="A1" s="39" t="s">
        <v>69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8"/>
      <c r="AD1" s="28"/>
      <c r="AE1" s="29"/>
      <c r="AF1" s="30"/>
      <c r="AG1" s="30"/>
      <c r="AH1" s="31"/>
    </row>
    <row r="2" spans="1:34" s="32" customFormat="1" ht="50.25" customHeight="1" x14ac:dyDescent="0.35">
      <c r="A2" s="3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8"/>
      <c r="AD2" s="28"/>
      <c r="AE2" s="29"/>
      <c r="AF2" s="30"/>
      <c r="AG2" s="30"/>
      <c r="AH2" s="31"/>
    </row>
    <row r="3" spans="1:34" s="4" customFormat="1" ht="30" customHeight="1" x14ac:dyDescent="0.35">
      <c r="A3" s="50" t="s">
        <v>41</v>
      </c>
      <c r="B3" s="50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>
        <v>2015</v>
      </c>
      <c r="AH3" s="3"/>
    </row>
    <row r="4" spans="1:34" s="6" customFormat="1" ht="15.75" customHeight="1" x14ac:dyDescent="0.3">
      <c r="A4" s="52"/>
      <c r="B4" s="24" t="str">
        <f>TEXT(WEEKDAY(DATE(CalendarYear,1,1),1),"aaa")</f>
        <v>Thu</v>
      </c>
      <c r="C4" s="25" t="str">
        <f>TEXT(WEEKDAY(DATE(CalendarYear,1,2),1),"aaa")</f>
        <v>Fri</v>
      </c>
      <c r="D4" s="25" t="str">
        <f>TEXT(WEEKDAY(DATE(CalendarYear,1,3),1),"aaa")</f>
        <v>Sat</v>
      </c>
      <c r="E4" s="25" t="str">
        <f>TEXT(WEEKDAY(DATE(CalendarYear,1,4),1),"aaa")</f>
        <v>Sun</v>
      </c>
      <c r="F4" s="25" t="str">
        <f>TEXT(WEEKDAY(DATE(CalendarYear,1,5),1),"aaa")</f>
        <v>Mon</v>
      </c>
      <c r="G4" s="25" t="str">
        <f>TEXT(WEEKDAY(DATE(CalendarYear,1,6),1),"aaa")</f>
        <v>Tue</v>
      </c>
      <c r="H4" s="25" t="str">
        <f>TEXT(WEEKDAY(DATE(CalendarYear,1,7),1),"aaa")</f>
        <v>Wed</v>
      </c>
      <c r="I4" s="25" t="str">
        <f>TEXT(WEEKDAY(DATE(CalendarYear,1,8),1),"aaa")</f>
        <v>Thu</v>
      </c>
      <c r="J4" s="25" t="str">
        <f>TEXT(WEEKDAY(DATE(CalendarYear,1,9),1),"aaa")</f>
        <v>Fri</v>
      </c>
      <c r="K4" s="25" t="str">
        <f>TEXT(WEEKDAY(DATE(CalendarYear,1,10),1),"aaa")</f>
        <v>Sat</v>
      </c>
      <c r="L4" s="25" t="str">
        <f>TEXT(WEEKDAY(DATE(CalendarYear,1,11),1),"aaa")</f>
        <v>Sun</v>
      </c>
      <c r="M4" s="25" t="str">
        <f>TEXT(WEEKDAY(DATE(CalendarYear,1,12),1),"aaa")</f>
        <v>Mon</v>
      </c>
      <c r="N4" s="25" t="str">
        <f>TEXT(WEEKDAY(DATE(CalendarYear,1,13),1),"aaa")</f>
        <v>Tue</v>
      </c>
      <c r="O4" s="25" t="str">
        <f>TEXT(WEEKDAY(DATE(CalendarYear,1,14),1),"aaa")</f>
        <v>Wed</v>
      </c>
      <c r="P4" s="25" t="str">
        <f>TEXT(WEEKDAY(DATE(CalendarYear,1,15),1),"aaa")</f>
        <v>Thu</v>
      </c>
      <c r="Q4" s="25" t="str">
        <f>TEXT(WEEKDAY(DATE(CalendarYear,1,16),1),"aaa")</f>
        <v>Fri</v>
      </c>
      <c r="R4" s="25" t="str">
        <f>TEXT(WEEKDAY(DATE(CalendarYear,1,17),1),"aaa")</f>
        <v>Sat</v>
      </c>
      <c r="S4" s="25" t="str">
        <f>TEXT(WEEKDAY(DATE(CalendarYear,1,18),1),"aaa")</f>
        <v>Sun</v>
      </c>
      <c r="T4" s="25" t="str">
        <f>TEXT(WEEKDAY(DATE(CalendarYear,1,19),1),"aaa")</f>
        <v>Mon</v>
      </c>
      <c r="U4" s="25" t="str">
        <f>TEXT(WEEKDAY(DATE(CalendarYear,1,20),1),"aaa")</f>
        <v>Tue</v>
      </c>
      <c r="V4" s="25" t="str">
        <f>TEXT(WEEKDAY(DATE(CalendarYear,1,21),1),"aaa")</f>
        <v>Wed</v>
      </c>
      <c r="W4" s="25" t="str">
        <f>TEXT(WEEKDAY(DATE(CalendarYear,1,22),1),"aaa")</f>
        <v>Thu</v>
      </c>
      <c r="X4" s="25" t="str">
        <f>TEXT(WEEKDAY(DATE(CalendarYear,1,23),1),"aaa")</f>
        <v>Fri</v>
      </c>
      <c r="Y4" s="25" t="str">
        <f>TEXT(WEEKDAY(DATE(CalendarYear,1,24),1),"aaa")</f>
        <v>Sat</v>
      </c>
      <c r="Z4" s="25" t="str">
        <f>TEXT(WEEKDAY(DATE(CalendarYear,1,25),1),"aaa")</f>
        <v>Sun</v>
      </c>
      <c r="AA4" s="25" t="str">
        <f>TEXT(WEEKDAY(DATE(CalendarYear,1,26),1),"aaa")</f>
        <v>Mon</v>
      </c>
      <c r="AB4" s="25" t="str">
        <f>TEXT(WEEKDAY(DATE(CalendarYear,1,27),1),"aaa")</f>
        <v>Tue</v>
      </c>
      <c r="AC4" s="25" t="str">
        <f>TEXT(WEEKDAY(DATE(CalendarYear,1,28),1),"aaa")</f>
        <v>Wed</v>
      </c>
      <c r="AD4" s="25" t="str">
        <f>TEXT(WEEKDAY(DATE(CalendarYear,1,29),1),"aaa")</f>
        <v>Thu</v>
      </c>
      <c r="AE4" s="25" t="str">
        <f>TEXT(WEEKDAY(DATE(CalendarYear,1,30),1),"aaa")</f>
        <v>Fri</v>
      </c>
      <c r="AF4" s="26" t="str">
        <f>TEXT(WEEKDAY(DATE(CalendarYear,1,31),1),"aaa")</f>
        <v>Sat</v>
      </c>
      <c r="AG4" s="52"/>
      <c r="AH4" s="5"/>
    </row>
    <row r="5" spans="1:34" s="10" customFormat="1" ht="14.5" x14ac:dyDescent="0.35">
      <c r="A5" s="38" t="s">
        <v>1</v>
      </c>
      <c r="B5" s="37" t="s">
        <v>2</v>
      </c>
      <c r="C5" s="37" t="s">
        <v>3</v>
      </c>
      <c r="D5" s="37" t="s">
        <v>4</v>
      </c>
      <c r="E5" s="37" t="s">
        <v>5</v>
      </c>
      <c r="F5" s="37" t="s">
        <v>6</v>
      </c>
      <c r="G5" s="37" t="s">
        <v>7</v>
      </c>
      <c r="H5" s="37" t="s">
        <v>8</v>
      </c>
      <c r="I5" s="37" t="s">
        <v>9</v>
      </c>
      <c r="J5" s="37" t="s">
        <v>10</v>
      </c>
      <c r="K5" s="37" t="s">
        <v>11</v>
      </c>
      <c r="L5" s="37" t="s">
        <v>12</v>
      </c>
      <c r="M5" s="37" t="s">
        <v>13</v>
      </c>
      <c r="N5" s="37" t="s">
        <v>14</v>
      </c>
      <c r="O5" s="37" t="s">
        <v>15</v>
      </c>
      <c r="P5" s="37" t="s">
        <v>16</v>
      </c>
      <c r="Q5" s="37" t="s">
        <v>17</v>
      </c>
      <c r="R5" s="37" t="s">
        <v>18</v>
      </c>
      <c r="S5" s="37" t="s">
        <v>19</v>
      </c>
      <c r="T5" s="37" t="s">
        <v>20</v>
      </c>
      <c r="U5" s="37" t="s">
        <v>21</v>
      </c>
      <c r="V5" s="37" t="s">
        <v>22</v>
      </c>
      <c r="W5" s="37" t="s">
        <v>23</v>
      </c>
      <c r="X5" s="37" t="s">
        <v>24</v>
      </c>
      <c r="Y5" s="37" t="s">
        <v>25</v>
      </c>
      <c r="Z5" s="37" t="s">
        <v>26</v>
      </c>
      <c r="AA5" s="37" t="s">
        <v>27</v>
      </c>
      <c r="AB5" s="37" t="s">
        <v>28</v>
      </c>
      <c r="AC5" s="37" t="s">
        <v>29</v>
      </c>
      <c r="AD5" s="37" t="s">
        <v>30</v>
      </c>
      <c r="AE5" s="37" t="s">
        <v>31</v>
      </c>
      <c r="AF5" s="37" t="s">
        <v>32</v>
      </c>
      <c r="AG5" s="7" t="s">
        <v>33</v>
      </c>
      <c r="AH5" s="9"/>
    </row>
    <row r="6" spans="1:34" s="10" customFormat="1" ht="14.5" x14ac:dyDescent="0.35">
      <c r="A6" s="36" t="s">
        <v>34</v>
      </c>
      <c r="B6" s="7"/>
      <c r="C6" s="7"/>
      <c r="D6" s="7" t="s">
        <v>36</v>
      </c>
      <c r="E6" s="7" t="s">
        <v>36</v>
      </c>
      <c r="F6" s="7" t="s">
        <v>36</v>
      </c>
      <c r="G6" s="7" t="s">
        <v>36</v>
      </c>
      <c r="H6" s="7"/>
      <c r="I6" s="7"/>
      <c r="J6" s="7"/>
      <c r="K6" s="7"/>
      <c r="L6" s="7"/>
      <c r="M6" s="7"/>
      <c r="N6" s="7" t="s">
        <v>36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COUNTA(tblJanuary[[#This Row],[1]:[31]])</f>
        <v>5</v>
      </c>
      <c r="AH6" s="9"/>
    </row>
    <row r="7" spans="1:34" s="10" customFormat="1" ht="14.5" x14ac:dyDescent="0.35">
      <c r="A7" s="36" t="s">
        <v>37</v>
      </c>
      <c r="B7" s="7"/>
      <c r="C7" s="7"/>
      <c r="D7" s="7"/>
      <c r="E7" s="7"/>
      <c r="F7" s="7" t="s">
        <v>35</v>
      </c>
      <c r="G7" s="7" t="s">
        <v>35</v>
      </c>
      <c r="H7" s="7"/>
      <c r="I7" s="7"/>
      <c r="J7" s="7"/>
      <c r="K7" s="7"/>
      <c r="L7" s="7" t="s">
        <v>40</v>
      </c>
      <c r="M7" s="7"/>
      <c r="N7" s="7"/>
      <c r="O7" s="7"/>
      <c r="P7" s="7"/>
      <c r="Q7" s="7"/>
      <c r="R7" s="7"/>
      <c r="S7" s="7"/>
      <c r="T7" s="7"/>
      <c r="U7" s="7" t="s">
        <v>35</v>
      </c>
      <c r="V7" s="7"/>
      <c r="W7" s="7"/>
      <c r="X7" s="7"/>
      <c r="Y7" s="7"/>
      <c r="Z7" s="7" t="s">
        <v>36</v>
      </c>
      <c r="AA7" s="7" t="s">
        <v>36</v>
      </c>
      <c r="AB7" s="7" t="s">
        <v>36</v>
      </c>
      <c r="AC7" s="7"/>
      <c r="AD7" s="7"/>
      <c r="AE7" s="7"/>
      <c r="AF7" s="7"/>
      <c r="AG7" s="11">
        <f>COUNTA(tblJanuary[[#This Row],[1]:[31]])</f>
        <v>7</v>
      </c>
      <c r="AH7" s="9"/>
    </row>
    <row r="8" spans="1:34" s="1" customFormat="1" ht="14.5" x14ac:dyDescent="0.35">
      <c r="A8" s="36" t="s">
        <v>47</v>
      </c>
      <c r="B8" s="7"/>
      <c r="C8" s="7"/>
      <c r="D8" s="7" t="s">
        <v>40</v>
      </c>
      <c r="E8" s="7"/>
      <c r="F8" s="7"/>
      <c r="G8" s="7"/>
      <c r="H8" s="7"/>
      <c r="I8" s="7"/>
      <c r="J8" s="7"/>
      <c r="K8" s="7"/>
      <c r="L8" s="7"/>
      <c r="M8" s="7"/>
      <c r="N8" s="7"/>
      <c r="O8" s="7" t="s">
        <v>35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35</v>
      </c>
      <c r="AE8" s="7"/>
      <c r="AF8" s="7"/>
      <c r="AG8" s="11">
        <f>COUNTA(tblJanuary[[#This Row],[1]:[31]])</f>
        <v>3</v>
      </c>
      <c r="AH8" s="2"/>
    </row>
    <row r="9" spans="1:34" s="1" customFormat="1" ht="14.5" x14ac:dyDescent="0.35">
      <c r="A9" s="36" t="s">
        <v>48</v>
      </c>
      <c r="B9" s="7"/>
      <c r="C9" s="7"/>
      <c r="D9" s="7"/>
      <c r="E9" s="7"/>
      <c r="F9" s="7"/>
      <c r="G9" s="7"/>
      <c r="H9" s="7" t="s">
        <v>40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36</v>
      </c>
      <c r="U9" s="7" t="s">
        <v>36</v>
      </c>
      <c r="V9" s="7" t="s">
        <v>36</v>
      </c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COUNTA(tblJanuary[[#This Row],[1]:[31]])</f>
        <v>4</v>
      </c>
      <c r="AH9" s="2"/>
    </row>
    <row r="10" spans="1:34" s="1" customFormat="1" ht="14.5" x14ac:dyDescent="0.35">
      <c r="A10" s="36" t="s">
        <v>49</v>
      </c>
      <c r="B10" s="7"/>
      <c r="C10" s="7"/>
      <c r="D10" s="7"/>
      <c r="E10" s="7" t="s">
        <v>35</v>
      </c>
      <c r="F10" s="7" t="s">
        <v>36</v>
      </c>
      <c r="G10" s="7" t="s">
        <v>36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 t="s">
        <v>35</v>
      </c>
      <c r="S10" s="7"/>
      <c r="T10" s="7"/>
      <c r="U10" s="7"/>
      <c r="V10" s="7"/>
      <c r="W10" s="7"/>
      <c r="X10" s="7"/>
      <c r="Y10" s="7" t="s">
        <v>35</v>
      </c>
      <c r="Z10" s="7"/>
      <c r="AA10" s="7"/>
      <c r="AB10" s="7"/>
      <c r="AC10" s="7"/>
      <c r="AD10" s="7"/>
      <c r="AE10" s="7"/>
      <c r="AF10" s="7" t="s">
        <v>36</v>
      </c>
      <c r="AG10" s="11">
        <f>COUNTA(tblJanuary[[#This Row],[1]:[31]])</f>
        <v>6</v>
      </c>
      <c r="AH10" s="2"/>
    </row>
    <row r="11" spans="1:34" ht="14.5" x14ac:dyDescent="0.25">
      <c r="A11" s="38" t="str">
        <f>MonthName&amp;" Total"</f>
        <v>January Total</v>
      </c>
      <c r="B11" s="37">
        <f>SUBTOTAL(103,tblJanuary[1])</f>
        <v>0</v>
      </c>
      <c r="C11" s="37">
        <f>SUBTOTAL(103,tblJanuary[2])</f>
        <v>0</v>
      </c>
      <c r="D11" s="37">
        <f>SUBTOTAL(103,tblJanuary[3])</f>
        <v>2</v>
      </c>
      <c r="E11" s="37">
        <f>SUBTOTAL(103,tblJanuary[4])</f>
        <v>2</v>
      </c>
      <c r="F11" s="37">
        <f>SUBTOTAL(103,tblJanuary[5])</f>
        <v>3</v>
      </c>
      <c r="G11" s="37">
        <f>SUBTOTAL(103,tblJanuary[6])</f>
        <v>3</v>
      </c>
      <c r="H11" s="37">
        <f>SUBTOTAL(103,tblJanuary[7])</f>
        <v>1</v>
      </c>
      <c r="I11" s="37">
        <f>SUBTOTAL(103,tblJanuary[8])</f>
        <v>0</v>
      </c>
      <c r="J11" s="37">
        <f>SUBTOTAL(103,tblJanuary[9])</f>
        <v>0</v>
      </c>
      <c r="K11" s="37">
        <f>SUBTOTAL(103,tblJanuary[10])</f>
        <v>0</v>
      </c>
      <c r="L11" s="37">
        <f>SUBTOTAL(103,tblJanuary[11])</f>
        <v>1</v>
      </c>
      <c r="M11" s="37">
        <f>SUBTOTAL(103,tblJanuary[12])</f>
        <v>0</v>
      </c>
      <c r="N11" s="37">
        <f>SUBTOTAL(103,tblJanuary[13])</f>
        <v>1</v>
      </c>
      <c r="O11" s="37">
        <f>SUBTOTAL(103,tblJanuary[14])</f>
        <v>1</v>
      </c>
      <c r="P11" s="37">
        <f>SUBTOTAL(103,tblJanuary[15])</f>
        <v>0</v>
      </c>
      <c r="Q11" s="37">
        <f>SUBTOTAL(103,tblJanuary[16])</f>
        <v>0</v>
      </c>
      <c r="R11" s="37">
        <f>SUBTOTAL(103,tblJanuary[17])</f>
        <v>1</v>
      </c>
      <c r="S11" s="37">
        <f>SUBTOTAL(103,tblJanuary[18])</f>
        <v>0</v>
      </c>
      <c r="T11" s="37">
        <f>SUBTOTAL(103,tblJanuary[19])</f>
        <v>1</v>
      </c>
      <c r="U11" s="37">
        <f>SUBTOTAL(103,tblJanuary[20])</f>
        <v>2</v>
      </c>
      <c r="V11" s="37">
        <f>SUBTOTAL(103,tblJanuary[21])</f>
        <v>1</v>
      </c>
      <c r="W11" s="37">
        <f>SUBTOTAL(103,tblJanuary[22])</f>
        <v>0</v>
      </c>
      <c r="X11" s="37">
        <f>SUBTOTAL(103,tblJanuary[23])</f>
        <v>0</v>
      </c>
      <c r="Y11" s="37">
        <f>SUBTOTAL(103,tblJanuary[24])</f>
        <v>1</v>
      </c>
      <c r="Z11" s="37">
        <f>SUBTOTAL(103,tblJanuary[25])</f>
        <v>1</v>
      </c>
      <c r="AA11" s="37">
        <f>SUBTOTAL(103,tblJanuary[26])</f>
        <v>1</v>
      </c>
      <c r="AB11" s="37">
        <f>SUBTOTAL(103,tblJanuary[27])</f>
        <v>1</v>
      </c>
      <c r="AC11" s="37">
        <f>SUBTOTAL(103,tblJanuary[28])</f>
        <v>0</v>
      </c>
      <c r="AD11" s="37">
        <f>SUBTOTAL(103,tblJanuary[29])</f>
        <v>1</v>
      </c>
      <c r="AE11" s="37">
        <f>SUBTOTAL(103,tblJanuary[30])</f>
        <v>0</v>
      </c>
      <c r="AF11" s="37">
        <f>SUBTOTAL(103,tblJanuary[31])</f>
        <v>1</v>
      </c>
      <c r="AG11" s="11">
        <f>SUBTOTAL(109,tblJanuary[Total Days])</f>
        <v>25</v>
      </c>
    </row>
    <row r="12" spans="1:34" customFormat="1" ht="14.5" x14ac:dyDescent="0.3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</row>
    <row r="13" spans="1:34" customFormat="1" thickBot="1" x14ac:dyDescent="0.4">
      <c r="A13" s="8"/>
      <c r="B13" s="41" t="s">
        <v>45</v>
      </c>
      <c r="C13" s="42"/>
      <c r="D13" s="40"/>
      <c r="E13" s="40"/>
      <c r="F13" s="40"/>
      <c r="G13" s="23" t="s">
        <v>36</v>
      </c>
      <c r="H13" s="33" t="s">
        <v>42</v>
      </c>
      <c r="I13" s="34"/>
      <c r="J13" s="34"/>
      <c r="K13" s="19" t="s">
        <v>40</v>
      </c>
      <c r="L13" s="33" t="s">
        <v>43</v>
      </c>
      <c r="M13" s="34"/>
      <c r="N13" s="34"/>
      <c r="O13" s="20" t="s">
        <v>35</v>
      </c>
      <c r="P13" s="33" t="s">
        <v>44</v>
      </c>
      <c r="Q13" s="34"/>
      <c r="R13" s="34"/>
      <c r="S13" s="21" t="s">
        <v>61</v>
      </c>
      <c r="T13" s="33" t="s">
        <v>62</v>
      </c>
      <c r="U13" s="35"/>
      <c r="V13" s="34"/>
      <c r="W13" s="22" t="s">
        <v>60</v>
      </c>
      <c r="X13" s="33" t="s">
        <v>63</v>
      </c>
      <c r="Y13" s="34"/>
      <c r="Z13" s="35"/>
      <c r="AA13" s="13"/>
      <c r="AB13" s="13"/>
      <c r="AC13" s="13"/>
      <c r="AD13" s="13"/>
      <c r="AE13" s="13"/>
      <c r="AF13" s="13"/>
      <c r="AG13" s="12"/>
    </row>
    <row r="14" spans="1:34" customFormat="1" ht="14.5" x14ac:dyDescent="0.35"/>
    <row r="15" spans="1:34" customFormat="1" ht="14.5" x14ac:dyDescent="0.35"/>
    <row r="16" spans="1:34" customFormat="1" ht="14.5" x14ac:dyDescent="0.35"/>
    <row r="17" customFormat="1" ht="15" customHeight="1" x14ac:dyDescent="0.35"/>
    <row r="18" customFormat="1" ht="15" customHeight="1" x14ac:dyDescent="0.35"/>
    <row r="19" customFormat="1" ht="15" customHeight="1" x14ac:dyDescent="0.35"/>
    <row r="20" customFormat="1" ht="15" customHeight="1" x14ac:dyDescent="0.35"/>
    <row r="21" customFormat="1" ht="15" customHeight="1" x14ac:dyDescent="0.35"/>
    <row r="22" customFormat="1" ht="15" customHeight="1" x14ac:dyDescent="0.35"/>
    <row r="23" customFormat="1" ht="15" customHeight="1" x14ac:dyDescent="0.35"/>
    <row r="24" customFormat="1" ht="15" customHeight="1" x14ac:dyDescent="0.35"/>
    <row r="25" customFormat="1" ht="15" customHeight="1" x14ac:dyDescent="0.35"/>
    <row r="26" customFormat="1" ht="15" customHeight="1" x14ac:dyDescent="0.35"/>
    <row r="27" customFormat="1" ht="15" customHeight="1" x14ac:dyDescent="0.35"/>
    <row r="28" customFormat="1" ht="15" customHeight="1" x14ac:dyDescent="0.35"/>
    <row r="29" customFormat="1" ht="15" customHeight="1" x14ac:dyDescent="0.35"/>
    <row r="30" customFormat="1" ht="15" customHeight="1" x14ac:dyDescent="0.35"/>
    <row r="31" customFormat="1" ht="15" customHeight="1" x14ac:dyDescent="0.35"/>
    <row r="32" customFormat="1" ht="15" customHeight="1" x14ac:dyDescent="0.35"/>
    <row r="33" customFormat="1" ht="15" customHeight="1" x14ac:dyDescent="0.35"/>
    <row r="34" customFormat="1" ht="15" customHeight="1" x14ac:dyDescent="0.35"/>
    <row r="35" customFormat="1" ht="15" customHeight="1" x14ac:dyDescent="0.35"/>
    <row r="36" customFormat="1" ht="15" customHeight="1" x14ac:dyDescent="0.35"/>
    <row r="37" customFormat="1" ht="15" customHeight="1" x14ac:dyDescent="0.35"/>
    <row r="38" customFormat="1" ht="15" customHeight="1" x14ac:dyDescent="0.35"/>
    <row r="39" customFormat="1" ht="15" customHeight="1" x14ac:dyDescent="0.35"/>
    <row r="40" customFormat="1" ht="15" customHeight="1" x14ac:dyDescent="0.35"/>
    <row r="41" customFormat="1" ht="15" customHeight="1" x14ac:dyDescent="0.35"/>
    <row r="42" customFormat="1" ht="15" customHeight="1" x14ac:dyDescent="0.35"/>
    <row r="43" customFormat="1" ht="15" customHeight="1" x14ac:dyDescent="0.35"/>
    <row r="44" customFormat="1" ht="15" customHeight="1" x14ac:dyDescent="0.35"/>
    <row r="45" customFormat="1" ht="15" customHeight="1" x14ac:dyDescent="0.35"/>
    <row r="46" customFormat="1" ht="15" customHeight="1" x14ac:dyDescent="0.35"/>
    <row r="47" customFormat="1" ht="15" customHeight="1" x14ac:dyDescent="0.35"/>
    <row r="48" customFormat="1" ht="15" customHeight="1" x14ac:dyDescent="0.35"/>
    <row r="49" customFormat="1" ht="15" customHeight="1" x14ac:dyDescent="0.35"/>
    <row r="50" customFormat="1" ht="15" customHeight="1" x14ac:dyDescent="0.35"/>
    <row r="51" customFormat="1" ht="15" customHeight="1" x14ac:dyDescent="0.35"/>
    <row r="52" customFormat="1" ht="15" customHeight="1" x14ac:dyDescent="0.35"/>
    <row r="53" customFormat="1" ht="15" customHeight="1" x14ac:dyDescent="0.35"/>
    <row r="54" customFormat="1" ht="15" customHeight="1" x14ac:dyDescent="0.35"/>
    <row r="55" customFormat="1" ht="15" customHeight="1" x14ac:dyDescent="0.35"/>
    <row r="56" customFormat="1" ht="15" customHeight="1" x14ac:dyDescent="0.35"/>
    <row r="57" customFormat="1" ht="15" customHeight="1" x14ac:dyDescent="0.35"/>
    <row r="58" customFormat="1" ht="15" customHeight="1" x14ac:dyDescent="0.35"/>
    <row r="59" customFormat="1" ht="15" customHeight="1" x14ac:dyDescent="0.35"/>
    <row r="60" customFormat="1" ht="15" customHeight="1" x14ac:dyDescent="0.35"/>
    <row r="61" customFormat="1" ht="15" customHeight="1" x14ac:dyDescent="0.35"/>
    <row r="62" customFormat="1" ht="15" customHeight="1" x14ac:dyDescent="0.35"/>
    <row r="63" customFormat="1" ht="15" customHeight="1" x14ac:dyDescent="0.35"/>
    <row r="64" customFormat="1" ht="15" customHeight="1" x14ac:dyDescent="0.35"/>
    <row r="65" customFormat="1" ht="15" customHeight="1" x14ac:dyDescent="0.35"/>
    <row r="66" customFormat="1" ht="15" customHeight="1" x14ac:dyDescent="0.35"/>
    <row r="67" customFormat="1" ht="15" customHeight="1" x14ac:dyDescent="0.35"/>
    <row r="68" customFormat="1" ht="15" customHeight="1" x14ac:dyDescent="0.35"/>
    <row r="69" customFormat="1" ht="15" customHeight="1" x14ac:dyDescent="0.35"/>
    <row r="70" customFormat="1" ht="15" customHeight="1" x14ac:dyDescent="0.35"/>
    <row r="71" customFormat="1" ht="15" customHeight="1" x14ac:dyDescent="0.35"/>
    <row r="72" customFormat="1" ht="15" customHeight="1" x14ac:dyDescent="0.35"/>
    <row r="73" customFormat="1" ht="15" customHeight="1" x14ac:dyDescent="0.35"/>
    <row r="74" customFormat="1" ht="15" customHeight="1" x14ac:dyDescent="0.35"/>
    <row r="75" customFormat="1" ht="15" customHeight="1" x14ac:dyDescent="0.35"/>
    <row r="76" customFormat="1" ht="15" customHeight="1" x14ac:dyDescent="0.35"/>
    <row r="77" customFormat="1" ht="15" customHeight="1" x14ac:dyDescent="0.35"/>
    <row r="78" customFormat="1" ht="15" customHeight="1" x14ac:dyDescent="0.35"/>
    <row r="79" customFormat="1" ht="15" customHeight="1" x14ac:dyDescent="0.35"/>
    <row r="80" customFormat="1" ht="15" customHeight="1" x14ac:dyDescent="0.35"/>
    <row r="81" customFormat="1" ht="15" customHeight="1" x14ac:dyDescent="0.35"/>
    <row r="82" customFormat="1" ht="15" customHeight="1" x14ac:dyDescent="0.35"/>
    <row r="83" customFormat="1" ht="15" customHeight="1" x14ac:dyDescent="0.35"/>
    <row r="84" customFormat="1" ht="15" customHeight="1" x14ac:dyDescent="0.35"/>
    <row r="85" customFormat="1" ht="15" customHeight="1" x14ac:dyDescent="0.35"/>
    <row r="86" customFormat="1" ht="15" customHeight="1" x14ac:dyDescent="0.35"/>
    <row r="87" customFormat="1" ht="15" customHeight="1" x14ac:dyDescent="0.35"/>
    <row r="88" customFormat="1" ht="15" customHeight="1" x14ac:dyDescent="0.35"/>
    <row r="89" customFormat="1" ht="15" customHeight="1" x14ac:dyDescent="0.35"/>
    <row r="90" customFormat="1" ht="15" customHeight="1" x14ac:dyDescent="0.35"/>
    <row r="91" customFormat="1" ht="15" customHeight="1" x14ac:dyDescent="0.35"/>
    <row r="92" customFormat="1" ht="15" customHeight="1" x14ac:dyDescent="0.35"/>
    <row r="93" customFormat="1" ht="15" customHeight="1" x14ac:dyDescent="0.35"/>
    <row r="94" customFormat="1" ht="15" customHeight="1" x14ac:dyDescent="0.35"/>
    <row r="95" customFormat="1" ht="15" customHeight="1" x14ac:dyDescent="0.35"/>
    <row r="96" customFormat="1" ht="15" customHeight="1" x14ac:dyDescent="0.35"/>
    <row r="97" customFormat="1" ht="15" customHeight="1" x14ac:dyDescent="0.35"/>
    <row r="98" customFormat="1" ht="15" customHeight="1" x14ac:dyDescent="0.35"/>
    <row r="99" customFormat="1" ht="15" customHeight="1" x14ac:dyDescent="0.35"/>
    <row r="100" customFormat="1" ht="15" customHeight="1" x14ac:dyDescent="0.35"/>
    <row r="101" customFormat="1" ht="15" customHeight="1" x14ac:dyDescent="0.35"/>
    <row r="102" customFormat="1" ht="15" customHeight="1" x14ac:dyDescent="0.35"/>
    <row r="103" customFormat="1" ht="15" customHeight="1" x14ac:dyDescent="0.35"/>
    <row r="104" customFormat="1" ht="15" customHeight="1" x14ac:dyDescent="0.35"/>
    <row r="105" customFormat="1" ht="15" customHeight="1" x14ac:dyDescent="0.35"/>
    <row r="106" customFormat="1" ht="15" customHeight="1" x14ac:dyDescent="0.35"/>
    <row r="107" customFormat="1" ht="15" customHeight="1" x14ac:dyDescent="0.35"/>
    <row r="108" customFormat="1" ht="15" customHeight="1" x14ac:dyDescent="0.35"/>
    <row r="109" customFormat="1" ht="15" customHeight="1" x14ac:dyDescent="0.35"/>
    <row r="110" customFormat="1" ht="15" customHeight="1" x14ac:dyDescent="0.35"/>
    <row r="111" customFormat="1" ht="15" customHeight="1" x14ac:dyDescent="0.35"/>
    <row r="112" customFormat="1" ht="15" customHeight="1" x14ac:dyDescent="0.35"/>
    <row r="113" customFormat="1" ht="15" customHeight="1" x14ac:dyDescent="0.35"/>
    <row r="114" customFormat="1" ht="15" customHeight="1" x14ac:dyDescent="0.35"/>
    <row r="115" customFormat="1" ht="15" customHeight="1" x14ac:dyDescent="0.35"/>
    <row r="116" customFormat="1" ht="15" customHeight="1" x14ac:dyDescent="0.35"/>
    <row r="117" customFormat="1" ht="15" customHeight="1" x14ac:dyDescent="0.35"/>
    <row r="118" customFormat="1" ht="15" customHeight="1" x14ac:dyDescent="0.35"/>
    <row r="119" customFormat="1" ht="15" customHeight="1" x14ac:dyDescent="0.35"/>
    <row r="120" customFormat="1" ht="15" customHeight="1" x14ac:dyDescent="0.35"/>
    <row r="121" customFormat="1" ht="15" customHeight="1" x14ac:dyDescent="0.35"/>
    <row r="122" customFormat="1" ht="15" customHeight="1" x14ac:dyDescent="0.35"/>
    <row r="123" customFormat="1" ht="15" customHeight="1" x14ac:dyDescent="0.35"/>
    <row r="124" customFormat="1" ht="15" customHeight="1" x14ac:dyDescent="0.35"/>
    <row r="125" customFormat="1" ht="15" customHeight="1" x14ac:dyDescent="0.35"/>
    <row r="126" customFormat="1" ht="15" customHeight="1" x14ac:dyDescent="0.35"/>
    <row r="127" customFormat="1" ht="15" customHeight="1" x14ac:dyDescent="0.35"/>
    <row r="128" customFormat="1" ht="15" customHeight="1" x14ac:dyDescent="0.35"/>
    <row r="129" customFormat="1" ht="15" customHeight="1" x14ac:dyDescent="0.35"/>
    <row r="130" customFormat="1" ht="15" customHeight="1" x14ac:dyDescent="0.35"/>
    <row r="131" customFormat="1" ht="15" customHeight="1" x14ac:dyDescent="0.35"/>
    <row r="132" customFormat="1" ht="15" customHeight="1" x14ac:dyDescent="0.35"/>
    <row r="133" customFormat="1" ht="15" customHeight="1" x14ac:dyDescent="0.35"/>
    <row r="134" customFormat="1" ht="15" customHeight="1" x14ac:dyDescent="0.35"/>
    <row r="135" customFormat="1" ht="15" customHeight="1" x14ac:dyDescent="0.35"/>
    <row r="136" customFormat="1" ht="15" customHeight="1" x14ac:dyDescent="0.35"/>
    <row r="137" customFormat="1" ht="15" customHeight="1" x14ac:dyDescent="0.35"/>
    <row r="138" customFormat="1" ht="15" customHeight="1" x14ac:dyDescent="0.35"/>
    <row r="139" customFormat="1" ht="15" customHeight="1" x14ac:dyDescent="0.35"/>
    <row r="140" customFormat="1" ht="15" customHeight="1" x14ac:dyDescent="0.35"/>
    <row r="141" customFormat="1" ht="15" customHeight="1" x14ac:dyDescent="0.35"/>
    <row r="142" customFormat="1" ht="15" customHeight="1" x14ac:dyDescent="0.35"/>
    <row r="143" customFormat="1" ht="15" customHeight="1" x14ac:dyDescent="0.35"/>
    <row r="144" customFormat="1" ht="15" customHeight="1" x14ac:dyDescent="0.35"/>
    <row r="145" customFormat="1" ht="15" customHeight="1" x14ac:dyDescent="0.35"/>
    <row r="146" customFormat="1" ht="15" customHeight="1" x14ac:dyDescent="0.35"/>
    <row r="147" customFormat="1" ht="15" customHeight="1" x14ac:dyDescent="0.35"/>
    <row r="148" customFormat="1" ht="15" customHeight="1" x14ac:dyDescent="0.35"/>
    <row r="149" customFormat="1" ht="15" customHeight="1" x14ac:dyDescent="0.35"/>
    <row r="150" customFormat="1" ht="15" customHeight="1" x14ac:dyDescent="0.35"/>
    <row r="151" customFormat="1" ht="15" customHeight="1" x14ac:dyDescent="0.35"/>
    <row r="152" customFormat="1" ht="15" customHeight="1" x14ac:dyDescent="0.35"/>
    <row r="153" customFormat="1" ht="15" customHeight="1" x14ac:dyDescent="0.35"/>
    <row r="154" customFormat="1" ht="15" customHeight="1" x14ac:dyDescent="0.35"/>
    <row r="155" customFormat="1" ht="15" customHeight="1" x14ac:dyDescent="0.35"/>
    <row r="156" customFormat="1" ht="15" customHeight="1" x14ac:dyDescent="0.35"/>
    <row r="157" customFormat="1" ht="15" customHeight="1" x14ac:dyDescent="0.35"/>
    <row r="158" customFormat="1" ht="15" customHeight="1" x14ac:dyDescent="0.35"/>
    <row r="159" customFormat="1" ht="15" customHeight="1" x14ac:dyDescent="0.35"/>
    <row r="160" customFormat="1" ht="15" customHeight="1" x14ac:dyDescent="0.35"/>
    <row r="161" customFormat="1" ht="15" customHeight="1" x14ac:dyDescent="0.35"/>
    <row r="162" customFormat="1" ht="15" customHeight="1" x14ac:dyDescent="0.35"/>
    <row r="163" customFormat="1" ht="15" customHeight="1" x14ac:dyDescent="0.35"/>
    <row r="164" customFormat="1" ht="15" customHeight="1" x14ac:dyDescent="0.35"/>
    <row r="165" customFormat="1" ht="15" customHeight="1" x14ac:dyDescent="0.35"/>
    <row r="166" customFormat="1" ht="15" customHeight="1" x14ac:dyDescent="0.35"/>
    <row r="167" customFormat="1" ht="15" customHeight="1" x14ac:dyDescent="0.35"/>
    <row r="168" customFormat="1" ht="15" customHeight="1" x14ac:dyDescent="0.35"/>
    <row r="169" customFormat="1" ht="15" customHeight="1" x14ac:dyDescent="0.35"/>
    <row r="170" customFormat="1" ht="15" customHeight="1" x14ac:dyDescent="0.35"/>
    <row r="171" customFormat="1" ht="15" customHeight="1" x14ac:dyDescent="0.35"/>
    <row r="172" customFormat="1" ht="15" customHeight="1" x14ac:dyDescent="0.35"/>
    <row r="173" customFormat="1" ht="15" customHeight="1" x14ac:dyDescent="0.35"/>
    <row r="174" customFormat="1" ht="15" customHeight="1" x14ac:dyDescent="0.35"/>
    <row r="175" customFormat="1" ht="15" customHeight="1" x14ac:dyDescent="0.35"/>
    <row r="176" customFormat="1" ht="15" customHeight="1" x14ac:dyDescent="0.35"/>
    <row r="177" customFormat="1" ht="15" customHeight="1" x14ac:dyDescent="0.35"/>
    <row r="178" customFormat="1" ht="15" customHeight="1" x14ac:dyDescent="0.35"/>
    <row r="179" customFormat="1" ht="15" customHeight="1" x14ac:dyDescent="0.35"/>
    <row r="180" customFormat="1" ht="15" customHeight="1" x14ac:dyDescent="0.35"/>
    <row r="181" customFormat="1" ht="15" customHeight="1" x14ac:dyDescent="0.35"/>
    <row r="182" customFormat="1" ht="15" customHeight="1" x14ac:dyDescent="0.35"/>
    <row r="183" customFormat="1" ht="15" customHeight="1" x14ac:dyDescent="0.35"/>
    <row r="184" customFormat="1" ht="15" customHeight="1" x14ac:dyDescent="0.35"/>
    <row r="185" customFormat="1" ht="15" customHeight="1" x14ac:dyDescent="0.35"/>
    <row r="186" customFormat="1" ht="15" customHeight="1" x14ac:dyDescent="0.35"/>
    <row r="187" customFormat="1" ht="15" customHeight="1" x14ac:dyDescent="0.35"/>
    <row r="188" customFormat="1" ht="15" customHeight="1" x14ac:dyDescent="0.35"/>
    <row r="189" customFormat="1" ht="15" customHeight="1" x14ac:dyDescent="0.35"/>
    <row r="190" customFormat="1" ht="15" customHeight="1" x14ac:dyDescent="0.35"/>
    <row r="191" customFormat="1" ht="15" customHeight="1" x14ac:dyDescent="0.35"/>
    <row r="192" customFormat="1" ht="15" customHeight="1" x14ac:dyDescent="0.35"/>
    <row r="193" customFormat="1" ht="15" customHeight="1" x14ac:dyDescent="0.35"/>
    <row r="194" customFormat="1" ht="15" customHeight="1" x14ac:dyDescent="0.35"/>
    <row r="195" customFormat="1" ht="15" customHeight="1" x14ac:dyDescent="0.35"/>
    <row r="196" customFormat="1" ht="15" customHeight="1" x14ac:dyDescent="0.35"/>
    <row r="197" customFormat="1" ht="15" customHeight="1" x14ac:dyDescent="0.35"/>
    <row r="198" customFormat="1" ht="15" customHeight="1" x14ac:dyDescent="0.35"/>
    <row r="199" customFormat="1" ht="15" customHeight="1" x14ac:dyDescent="0.35"/>
    <row r="200" customFormat="1" ht="15" customHeight="1" x14ac:dyDescent="0.35"/>
    <row r="201" customFormat="1" ht="15" customHeight="1" x14ac:dyDescent="0.35"/>
    <row r="202" customFormat="1" ht="15" customHeight="1" x14ac:dyDescent="0.35"/>
    <row r="203" customFormat="1" ht="15" customHeight="1" x14ac:dyDescent="0.35"/>
    <row r="204" customFormat="1" ht="15" customHeight="1" x14ac:dyDescent="0.35"/>
    <row r="205" customFormat="1" ht="15" customHeight="1" x14ac:dyDescent="0.35"/>
    <row r="206" customFormat="1" ht="15" customHeight="1" x14ac:dyDescent="0.35"/>
    <row r="207" customFormat="1" ht="15" customHeight="1" x14ac:dyDescent="0.35"/>
    <row r="208" customFormat="1" ht="15" customHeight="1" x14ac:dyDescent="0.35"/>
    <row r="209" customFormat="1" ht="15" customHeight="1" x14ac:dyDescent="0.35"/>
    <row r="210" customFormat="1" ht="15" customHeight="1" x14ac:dyDescent="0.35"/>
    <row r="211" customFormat="1" ht="15" customHeight="1" x14ac:dyDescent="0.35"/>
    <row r="212" customFormat="1" ht="15" customHeight="1" x14ac:dyDescent="0.35"/>
    <row r="213" customFormat="1" ht="15" customHeight="1" x14ac:dyDescent="0.35"/>
    <row r="214" customFormat="1" ht="15" customHeight="1" x14ac:dyDescent="0.35"/>
    <row r="215" customFormat="1" ht="15" customHeight="1" x14ac:dyDescent="0.35"/>
    <row r="216" customFormat="1" ht="15" customHeight="1" x14ac:dyDescent="0.35"/>
    <row r="217" customFormat="1" ht="15" customHeight="1" x14ac:dyDescent="0.35"/>
    <row r="218" customFormat="1" ht="15" customHeight="1" x14ac:dyDescent="0.35"/>
    <row r="219" customFormat="1" ht="15" customHeight="1" x14ac:dyDescent="0.35"/>
    <row r="220" customFormat="1" ht="15" customHeight="1" x14ac:dyDescent="0.35"/>
    <row r="221" customFormat="1" ht="15" customHeight="1" x14ac:dyDescent="0.35"/>
    <row r="222" customFormat="1" ht="15" customHeight="1" x14ac:dyDescent="0.35"/>
    <row r="223" customFormat="1" ht="15" customHeight="1" x14ac:dyDescent="0.35"/>
    <row r="224" customFormat="1" ht="15" customHeight="1" x14ac:dyDescent="0.35"/>
    <row r="225" customFormat="1" ht="15" customHeight="1" x14ac:dyDescent="0.35"/>
    <row r="226" customFormat="1" ht="15" customHeight="1" x14ac:dyDescent="0.35"/>
    <row r="227" customFormat="1" ht="15" customHeight="1" x14ac:dyDescent="0.35"/>
    <row r="228" customFormat="1" ht="15" customHeight="1" x14ac:dyDescent="0.35"/>
    <row r="229" customFormat="1" ht="15" customHeight="1" x14ac:dyDescent="0.35"/>
    <row r="230" customFormat="1" ht="15" customHeight="1" x14ac:dyDescent="0.35"/>
    <row r="231" customFormat="1" ht="15" customHeight="1" x14ac:dyDescent="0.35"/>
    <row r="232" customFormat="1" ht="15" customHeight="1" x14ac:dyDescent="0.35"/>
    <row r="233" customFormat="1" ht="15" customHeight="1" x14ac:dyDescent="0.35"/>
    <row r="234" customFormat="1" ht="15" customHeight="1" x14ac:dyDescent="0.35"/>
    <row r="235" customFormat="1" ht="15" customHeight="1" x14ac:dyDescent="0.35"/>
    <row r="236" customFormat="1" ht="15" customHeight="1" x14ac:dyDescent="0.35"/>
    <row r="237" customFormat="1" ht="15" customHeight="1" x14ac:dyDescent="0.35"/>
    <row r="238" customFormat="1" ht="15" customHeight="1" x14ac:dyDescent="0.35"/>
    <row r="239" customFormat="1" ht="15" customHeight="1" x14ac:dyDescent="0.35"/>
    <row r="240" customFormat="1" ht="15" customHeight="1" x14ac:dyDescent="0.35"/>
    <row r="241" customFormat="1" ht="15" customHeight="1" x14ac:dyDescent="0.35"/>
    <row r="242" customFormat="1" ht="15" customHeight="1" x14ac:dyDescent="0.35"/>
    <row r="243" customFormat="1" ht="15" customHeight="1" x14ac:dyDescent="0.35"/>
    <row r="244" customFormat="1" ht="15" customHeight="1" x14ac:dyDescent="0.35"/>
    <row r="245" customFormat="1" ht="15" customHeight="1" x14ac:dyDescent="0.35"/>
    <row r="246" customFormat="1" ht="15" customHeight="1" x14ac:dyDescent="0.35"/>
    <row r="247" customFormat="1" ht="15" customHeight="1" x14ac:dyDescent="0.35"/>
    <row r="248" customFormat="1" ht="15" customHeight="1" x14ac:dyDescent="0.35"/>
    <row r="249" customFormat="1" ht="15" customHeight="1" x14ac:dyDescent="0.35"/>
    <row r="250" customFormat="1" ht="15" customHeight="1" x14ac:dyDescent="0.35"/>
    <row r="251" customFormat="1" ht="15" customHeight="1" x14ac:dyDescent="0.35"/>
    <row r="252" customFormat="1" ht="15" customHeight="1" x14ac:dyDescent="0.35"/>
    <row r="253" customFormat="1" ht="15" customHeight="1" x14ac:dyDescent="0.35"/>
    <row r="254" customFormat="1" ht="15" customHeight="1" x14ac:dyDescent="0.35"/>
    <row r="255" customFormat="1" ht="15" customHeight="1" x14ac:dyDescent="0.35"/>
    <row r="256" customFormat="1" ht="15" customHeight="1" x14ac:dyDescent="0.35"/>
    <row r="257" customFormat="1" ht="15" customHeight="1" x14ac:dyDescent="0.35"/>
    <row r="258" customFormat="1" ht="15" customHeight="1" x14ac:dyDescent="0.35"/>
    <row r="259" customFormat="1" ht="15" customHeight="1" x14ac:dyDescent="0.35"/>
    <row r="260" customFormat="1" ht="15" customHeight="1" x14ac:dyDescent="0.35"/>
    <row r="261" customFormat="1" ht="15" customHeight="1" x14ac:dyDescent="0.35"/>
    <row r="262" customFormat="1" ht="15" customHeight="1" x14ac:dyDescent="0.35"/>
    <row r="263" customFormat="1" ht="15" customHeight="1" x14ac:dyDescent="0.35"/>
    <row r="264" customFormat="1" ht="15" customHeight="1" x14ac:dyDescent="0.35"/>
    <row r="265" customFormat="1" ht="15" customHeight="1" x14ac:dyDescent="0.35"/>
    <row r="266" customFormat="1" ht="15" customHeight="1" x14ac:dyDescent="0.35"/>
    <row r="267" customFormat="1" ht="15" customHeight="1" x14ac:dyDescent="0.35"/>
    <row r="268" customFormat="1" ht="15" customHeight="1" x14ac:dyDescent="0.35"/>
    <row r="269" customFormat="1" ht="15" customHeight="1" x14ac:dyDescent="0.35"/>
    <row r="270" customFormat="1" ht="15" customHeight="1" x14ac:dyDescent="0.35"/>
    <row r="271" customFormat="1" ht="15" customHeight="1" x14ac:dyDescent="0.35"/>
    <row r="272" customFormat="1" ht="15" customHeight="1" x14ac:dyDescent="0.35"/>
    <row r="273" customFormat="1" ht="15" customHeight="1" x14ac:dyDescent="0.35"/>
    <row r="274" customFormat="1" ht="15" customHeight="1" x14ac:dyDescent="0.35"/>
    <row r="275" customFormat="1" ht="15" customHeight="1" x14ac:dyDescent="0.35"/>
    <row r="276" customFormat="1" ht="15" customHeight="1" x14ac:dyDescent="0.35"/>
    <row r="277" customFormat="1" ht="15" customHeight="1" x14ac:dyDescent="0.35"/>
    <row r="278" customFormat="1" ht="15" customHeight="1" x14ac:dyDescent="0.35"/>
    <row r="279" customFormat="1" ht="15" customHeight="1" x14ac:dyDescent="0.35"/>
    <row r="280" customFormat="1" ht="15" customHeight="1" x14ac:dyDescent="0.35"/>
    <row r="281" customFormat="1" ht="15" customHeight="1" x14ac:dyDescent="0.35"/>
    <row r="282" customFormat="1" ht="15" customHeight="1" x14ac:dyDescent="0.35"/>
    <row r="283" customFormat="1" ht="15" customHeight="1" x14ac:dyDescent="0.35"/>
    <row r="284" customFormat="1" ht="15" customHeight="1" x14ac:dyDescent="0.35"/>
    <row r="285" customFormat="1" ht="15" customHeight="1" x14ac:dyDescent="0.35"/>
    <row r="286" customFormat="1" ht="15" customHeight="1" x14ac:dyDescent="0.35"/>
    <row r="287" customFormat="1" ht="15" customHeight="1" x14ac:dyDescent="0.35"/>
    <row r="288" customFormat="1" ht="15" customHeight="1" x14ac:dyDescent="0.35"/>
    <row r="289" customFormat="1" ht="15" customHeight="1" x14ac:dyDescent="0.35"/>
    <row r="290" customFormat="1" ht="15" customHeight="1" x14ac:dyDescent="0.35"/>
    <row r="291" customFormat="1" ht="15" customHeight="1" x14ac:dyDescent="0.35"/>
    <row r="292" customFormat="1" ht="15" customHeight="1" x14ac:dyDescent="0.35"/>
    <row r="293" customFormat="1" ht="15" customHeight="1" x14ac:dyDescent="0.35"/>
    <row r="294" customFormat="1" ht="15" customHeight="1" x14ac:dyDescent="0.35"/>
    <row r="295" customFormat="1" ht="15" customHeight="1" x14ac:dyDescent="0.35"/>
    <row r="296" customFormat="1" ht="15" customHeight="1" x14ac:dyDescent="0.35"/>
    <row r="297" customFormat="1" ht="15" customHeight="1" x14ac:dyDescent="0.35"/>
    <row r="298" customFormat="1" ht="15" customHeight="1" x14ac:dyDescent="0.35"/>
    <row r="299" customFormat="1" ht="15" customHeight="1" x14ac:dyDescent="0.35"/>
    <row r="300" customFormat="1" ht="15" customHeight="1" x14ac:dyDescent="0.35"/>
    <row r="301" customFormat="1" ht="15" customHeight="1" x14ac:dyDescent="0.35"/>
    <row r="302" customFormat="1" ht="15" customHeight="1" x14ac:dyDescent="0.35"/>
    <row r="303" customFormat="1" ht="15" customHeight="1" x14ac:dyDescent="0.35"/>
    <row r="304" customFormat="1" ht="15" customHeight="1" x14ac:dyDescent="0.35"/>
    <row r="305" customFormat="1" ht="15" customHeight="1" x14ac:dyDescent="0.35"/>
    <row r="306" customFormat="1" ht="15" customHeight="1" x14ac:dyDescent="0.35"/>
    <row r="307" customFormat="1" ht="15" customHeight="1" x14ac:dyDescent="0.35"/>
    <row r="308" customFormat="1" ht="15" customHeight="1" x14ac:dyDescent="0.35"/>
    <row r="309" customFormat="1" ht="15" customHeight="1" x14ac:dyDescent="0.35"/>
    <row r="310" customFormat="1" ht="15" customHeight="1" x14ac:dyDescent="0.35"/>
    <row r="311" customFormat="1" ht="15" customHeight="1" x14ac:dyDescent="0.35"/>
    <row r="312" customFormat="1" ht="15" customHeight="1" x14ac:dyDescent="0.35"/>
    <row r="313" customFormat="1" ht="15" customHeight="1" x14ac:dyDescent="0.35"/>
    <row r="314" customFormat="1" ht="15" customHeight="1" x14ac:dyDescent="0.35"/>
    <row r="315" customFormat="1" ht="15" customHeight="1" x14ac:dyDescent="0.35"/>
    <row r="316" customFormat="1" ht="15" customHeight="1" x14ac:dyDescent="0.35"/>
    <row r="317" customFormat="1" ht="15" customHeight="1" x14ac:dyDescent="0.35"/>
    <row r="318" customFormat="1" ht="15" customHeight="1" x14ac:dyDescent="0.35"/>
    <row r="319" customFormat="1" ht="15" customHeight="1" x14ac:dyDescent="0.35"/>
    <row r="320" customFormat="1" ht="15" customHeight="1" x14ac:dyDescent="0.35"/>
    <row r="321" customFormat="1" ht="15" customHeight="1" x14ac:dyDescent="0.35"/>
    <row r="322" customFormat="1" ht="15" customHeight="1" x14ac:dyDescent="0.35"/>
    <row r="323" customFormat="1" ht="15" customHeight="1" x14ac:dyDescent="0.35"/>
    <row r="324" customFormat="1" ht="15" customHeight="1" x14ac:dyDescent="0.35"/>
    <row r="325" customFormat="1" ht="15" customHeight="1" x14ac:dyDescent="0.35"/>
    <row r="326" customFormat="1" ht="15" customHeight="1" x14ac:dyDescent="0.35"/>
    <row r="327" customFormat="1" ht="15" customHeight="1" x14ac:dyDescent="0.35"/>
    <row r="328" customFormat="1" ht="15" customHeight="1" x14ac:dyDescent="0.35"/>
    <row r="329" customFormat="1" ht="15" customHeight="1" x14ac:dyDescent="0.35"/>
    <row r="330" customFormat="1" ht="15" customHeight="1" x14ac:dyDescent="0.35"/>
    <row r="331" customFormat="1" ht="15" customHeight="1" x14ac:dyDescent="0.35"/>
    <row r="332" customFormat="1" ht="15" customHeight="1" x14ac:dyDescent="0.35"/>
    <row r="333" customFormat="1" ht="15" customHeight="1" x14ac:dyDescent="0.35"/>
    <row r="334" customFormat="1" ht="15" customHeight="1" x14ac:dyDescent="0.35"/>
    <row r="335" customFormat="1" ht="15" customHeight="1" x14ac:dyDescent="0.35"/>
    <row r="336" customFormat="1" ht="15" customHeight="1" x14ac:dyDescent="0.35"/>
    <row r="337" customFormat="1" ht="15" customHeight="1" x14ac:dyDescent="0.35"/>
    <row r="338" customFormat="1" ht="15" customHeight="1" x14ac:dyDescent="0.35"/>
    <row r="339" customFormat="1" ht="15" customHeight="1" x14ac:dyDescent="0.35"/>
    <row r="340" customFormat="1" ht="15" customHeight="1" x14ac:dyDescent="0.35"/>
    <row r="341" customFormat="1" ht="15" customHeight="1" x14ac:dyDescent="0.35"/>
    <row r="342" customFormat="1" ht="15" customHeight="1" x14ac:dyDescent="0.35"/>
    <row r="343" customFormat="1" ht="15" customHeight="1" x14ac:dyDescent="0.35"/>
    <row r="344" customFormat="1" ht="15" customHeight="1" x14ac:dyDescent="0.35"/>
    <row r="345" customFormat="1" ht="15" customHeight="1" x14ac:dyDescent="0.35"/>
    <row r="346" customFormat="1" ht="15" customHeight="1" x14ac:dyDescent="0.35"/>
    <row r="347" customFormat="1" ht="15" customHeight="1" x14ac:dyDescent="0.35"/>
    <row r="348" customFormat="1" ht="15" customHeight="1" x14ac:dyDescent="0.35"/>
    <row r="349" customFormat="1" ht="15" customHeight="1" x14ac:dyDescent="0.35"/>
    <row r="350" customFormat="1" ht="15" customHeight="1" x14ac:dyDescent="0.35"/>
    <row r="351" customFormat="1" ht="15" customHeight="1" x14ac:dyDescent="0.35"/>
    <row r="352" customFormat="1" ht="15" customHeight="1" x14ac:dyDescent="0.35"/>
    <row r="353" customFormat="1" ht="15" customHeight="1" x14ac:dyDescent="0.35"/>
    <row r="354" customFormat="1" ht="15" customHeight="1" x14ac:dyDescent="0.35"/>
    <row r="355" customFormat="1" ht="15" customHeight="1" x14ac:dyDescent="0.35"/>
    <row r="356" customFormat="1" ht="15" customHeight="1" x14ac:dyDescent="0.35"/>
    <row r="357" customFormat="1" ht="15" customHeight="1" x14ac:dyDescent="0.35"/>
    <row r="358" customFormat="1" ht="15" customHeight="1" x14ac:dyDescent="0.35"/>
    <row r="359" customFormat="1" ht="15" customHeight="1" x14ac:dyDescent="0.35"/>
    <row r="360" customFormat="1" ht="15" customHeight="1" x14ac:dyDescent="0.35"/>
    <row r="361" customFormat="1" ht="15" customHeight="1" x14ac:dyDescent="0.35"/>
    <row r="362" customFormat="1" ht="15" customHeight="1" x14ac:dyDescent="0.35"/>
    <row r="363" customFormat="1" ht="15" customHeight="1" x14ac:dyDescent="0.35"/>
    <row r="364" customFormat="1" ht="15" customHeight="1" x14ac:dyDescent="0.35"/>
    <row r="365" customFormat="1" ht="15" customHeight="1" x14ac:dyDescent="0.35"/>
    <row r="366" customFormat="1" ht="15" customHeight="1" x14ac:dyDescent="0.35"/>
    <row r="367" customFormat="1" ht="15" customHeight="1" x14ac:dyDescent="0.35"/>
    <row r="368" customFormat="1" ht="15" customHeight="1" x14ac:dyDescent="0.35"/>
    <row r="369" customFormat="1" ht="15" customHeight="1" x14ac:dyDescent="0.35"/>
    <row r="370" customFormat="1" ht="15" customHeight="1" x14ac:dyDescent="0.35"/>
    <row r="371" customFormat="1" ht="15" customHeight="1" x14ac:dyDescent="0.35"/>
    <row r="372" customFormat="1" ht="15" customHeight="1" x14ac:dyDescent="0.35"/>
    <row r="373" customFormat="1" ht="15" customHeight="1" x14ac:dyDescent="0.35"/>
    <row r="374" customFormat="1" ht="15" customHeight="1" x14ac:dyDescent="0.35"/>
    <row r="375" customFormat="1" ht="15" customHeight="1" x14ac:dyDescent="0.35"/>
    <row r="376" customFormat="1" ht="15" customHeight="1" x14ac:dyDescent="0.35"/>
    <row r="377" customFormat="1" ht="15" customHeight="1" x14ac:dyDescent="0.35"/>
    <row r="378" customFormat="1" ht="15" customHeight="1" x14ac:dyDescent="0.35"/>
    <row r="379" customFormat="1" ht="15" customHeight="1" x14ac:dyDescent="0.35"/>
    <row r="380" customFormat="1" ht="15" customHeight="1" x14ac:dyDescent="0.35"/>
    <row r="381" customFormat="1" ht="15" customHeight="1" x14ac:dyDescent="0.35"/>
    <row r="382" customFormat="1" ht="15" customHeight="1" x14ac:dyDescent="0.35"/>
    <row r="383" customFormat="1" ht="15" customHeight="1" x14ac:dyDescent="0.35"/>
    <row r="384" customFormat="1" ht="15" customHeight="1" x14ac:dyDescent="0.35"/>
    <row r="385" customFormat="1" ht="15" customHeight="1" x14ac:dyDescent="0.35"/>
    <row r="386" customFormat="1" ht="15" customHeight="1" x14ac:dyDescent="0.35"/>
    <row r="387" customFormat="1" ht="15" customHeight="1" x14ac:dyDescent="0.35"/>
    <row r="388" customFormat="1" ht="15" customHeight="1" x14ac:dyDescent="0.35"/>
    <row r="389" customFormat="1" ht="15" customHeight="1" x14ac:dyDescent="0.35"/>
    <row r="390" customFormat="1" ht="15" customHeight="1" x14ac:dyDescent="0.35"/>
    <row r="391" customFormat="1" ht="15" customHeight="1" x14ac:dyDescent="0.35"/>
    <row r="392" customFormat="1" ht="15" customHeight="1" x14ac:dyDescent="0.35"/>
    <row r="393" customFormat="1" ht="15" customHeight="1" x14ac:dyDescent="0.35"/>
    <row r="394" customFormat="1" ht="15" customHeight="1" x14ac:dyDescent="0.35"/>
    <row r="395" customFormat="1" ht="15" customHeight="1" x14ac:dyDescent="0.35"/>
    <row r="396" customFormat="1" ht="15" customHeight="1" x14ac:dyDescent="0.35"/>
    <row r="397" customFormat="1" ht="15" customHeight="1" x14ac:dyDescent="0.35"/>
    <row r="398" customFormat="1" ht="15" customHeight="1" x14ac:dyDescent="0.35"/>
    <row r="399" customFormat="1" ht="15" customHeight="1" x14ac:dyDescent="0.35"/>
    <row r="400" customFormat="1" ht="15" customHeight="1" x14ac:dyDescent="0.35"/>
    <row r="401" customFormat="1" ht="15" customHeight="1" x14ac:dyDescent="0.35"/>
    <row r="402" customFormat="1" ht="15" customHeight="1" x14ac:dyDescent="0.35"/>
    <row r="403" customFormat="1" ht="15" customHeight="1" x14ac:dyDescent="0.35"/>
    <row r="404" customFormat="1" ht="15" customHeight="1" x14ac:dyDescent="0.35"/>
    <row r="405" customFormat="1" ht="15" customHeight="1" x14ac:dyDescent="0.35"/>
    <row r="406" customFormat="1" ht="15" customHeight="1" x14ac:dyDescent="0.35"/>
    <row r="407" customFormat="1" ht="15" customHeight="1" x14ac:dyDescent="0.35"/>
    <row r="408" customFormat="1" ht="15" customHeight="1" x14ac:dyDescent="0.35"/>
    <row r="409" customFormat="1" ht="15" customHeight="1" x14ac:dyDescent="0.35"/>
    <row r="410" customFormat="1" ht="15" customHeight="1" x14ac:dyDescent="0.35"/>
    <row r="411" customFormat="1" ht="15" customHeight="1" x14ac:dyDescent="0.35"/>
    <row r="412" customFormat="1" ht="15" customHeight="1" x14ac:dyDescent="0.35"/>
    <row r="413" customFormat="1" ht="15" customHeight="1" x14ac:dyDescent="0.35"/>
    <row r="414" customFormat="1" ht="15" customHeight="1" x14ac:dyDescent="0.35"/>
    <row r="415" customFormat="1" ht="15" customHeight="1" x14ac:dyDescent="0.35"/>
    <row r="416" customFormat="1" ht="15" customHeight="1" x14ac:dyDescent="0.35"/>
    <row r="417" customFormat="1" ht="15" customHeight="1" x14ac:dyDescent="0.35"/>
    <row r="418" customFormat="1" ht="15" customHeight="1" x14ac:dyDescent="0.35"/>
    <row r="419" customFormat="1" ht="15" customHeight="1" x14ac:dyDescent="0.35"/>
    <row r="420" customFormat="1" ht="15" customHeight="1" x14ac:dyDescent="0.35"/>
    <row r="421" customFormat="1" ht="15" customHeight="1" x14ac:dyDescent="0.35"/>
    <row r="422" customFormat="1" ht="15" customHeight="1" x14ac:dyDescent="0.35"/>
    <row r="423" customFormat="1" ht="15" customHeight="1" x14ac:dyDescent="0.35"/>
    <row r="424" customFormat="1" ht="15" customHeight="1" x14ac:dyDescent="0.35"/>
    <row r="425" customFormat="1" ht="15" customHeight="1" x14ac:dyDescent="0.35"/>
    <row r="426" customFormat="1" ht="15" customHeight="1" x14ac:dyDescent="0.35"/>
    <row r="427" customFormat="1" ht="15" customHeight="1" x14ac:dyDescent="0.35"/>
    <row r="428" customFormat="1" ht="15" customHeight="1" x14ac:dyDescent="0.35"/>
    <row r="429" customFormat="1" ht="15" customHeight="1" x14ac:dyDescent="0.35"/>
    <row r="430" customFormat="1" ht="15" customHeight="1" x14ac:dyDescent="0.35"/>
    <row r="431" customFormat="1" ht="15" customHeight="1" x14ac:dyDescent="0.35"/>
    <row r="432" customFormat="1" ht="15" customHeight="1" x14ac:dyDescent="0.35"/>
    <row r="433" customFormat="1" ht="15" customHeight="1" x14ac:dyDescent="0.35"/>
    <row r="434" customFormat="1" ht="15" customHeight="1" x14ac:dyDescent="0.35"/>
    <row r="435" customFormat="1" ht="15" customHeight="1" x14ac:dyDescent="0.35"/>
    <row r="436" customFormat="1" ht="15" customHeight="1" x14ac:dyDescent="0.35"/>
    <row r="437" customFormat="1" ht="15" customHeight="1" x14ac:dyDescent="0.35"/>
    <row r="438" customFormat="1" ht="15" customHeight="1" x14ac:dyDescent="0.35"/>
    <row r="439" customFormat="1" ht="15" customHeight="1" x14ac:dyDescent="0.35"/>
    <row r="440" customFormat="1" ht="15" customHeight="1" x14ac:dyDescent="0.35"/>
    <row r="441" customFormat="1" ht="15" customHeight="1" x14ac:dyDescent="0.35"/>
    <row r="442" customFormat="1" ht="15" customHeight="1" x14ac:dyDescent="0.35"/>
    <row r="443" customFormat="1" ht="15" customHeight="1" x14ac:dyDescent="0.35"/>
    <row r="444" customFormat="1" ht="15" customHeight="1" x14ac:dyDescent="0.35"/>
    <row r="445" customFormat="1" ht="15" customHeight="1" x14ac:dyDescent="0.35"/>
    <row r="446" customFormat="1" ht="15" customHeight="1" x14ac:dyDescent="0.35"/>
    <row r="447" customFormat="1" ht="15" customHeight="1" x14ac:dyDescent="0.35"/>
    <row r="448" customFormat="1" ht="15" customHeight="1" x14ac:dyDescent="0.35"/>
    <row r="449" customFormat="1" ht="15" customHeight="1" x14ac:dyDescent="0.35"/>
    <row r="450" customFormat="1" ht="15" customHeight="1" x14ac:dyDescent="0.35"/>
    <row r="451" customFormat="1" ht="15" customHeight="1" x14ac:dyDescent="0.35"/>
    <row r="452" customFormat="1" ht="15" customHeight="1" x14ac:dyDescent="0.35"/>
    <row r="453" customFormat="1" ht="15" customHeight="1" x14ac:dyDescent="0.35"/>
    <row r="454" customFormat="1" ht="15" customHeight="1" x14ac:dyDescent="0.35"/>
    <row r="455" customFormat="1" ht="15" customHeight="1" x14ac:dyDescent="0.35"/>
    <row r="456" customFormat="1" ht="15" customHeight="1" x14ac:dyDescent="0.35"/>
    <row r="457" customFormat="1" ht="15" customHeight="1" x14ac:dyDescent="0.35"/>
    <row r="458" customFormat="1" ht="15" customHeight="1" x14ac:dyDescent="0.35"/>
    <row r="459" customFormat="1" ht="15" customHeight="1" x14ac:dyDescent="0.35"/>
    <row r="460" customFormat="1" ht="15" customHeight="1" x14ac:dyDescent="0.35"/>
    <row r="461" customFormat="1" ht="15" customHeight="1" x14ac:dyDescent="0.35"/>
    <row r="462" customFormat="1" ht="15" customHeight="1" x14ac:dyDescent="0.35"/>
    <row r="463" customFormat="1" ht="15" customHeight="1" x14ac:dyDescent="0.35"/>
    <row r="464" customFormat="1" ht="15" customHeight="1" x14ac:dyDescent="0.35"/>
    <row r="465" customFormat="1" ht="15" customHeight="1" x14ac:dyDescent="0.35"/>
    <row r="466" customFormat="1" ht="15" customHeight="1" x14ac:dyDescent="0.35"/>
    <row r="467" customFormat="1" ht="15" customHeight="1" x14ac:dyDescent="0.35"/>
    <row r="468" customFormat="1" ht="15" customHeight="1" x14ac:dyDescent="0.35"/>
    <row r="469" customFormat="1" ht="15" customHeight="1" x14ac:dyDescent="0.35"/>
    <row r="470" customFormat="1" ht="15" customHeight="1" x14ac:dyDescent="0.35"/>
    <row r="471" customFormat="1" ht="15" customHeight="1" x14ac:dyDescent="0.35"/>
    <row r="472" customFormat="1" ht="15" customHeight="1" x14ac:dyDescent="0.35"/>
    <row r="473" customFormat="1" ht="15" customHeight="1" x14ac:dyDescent="0.35"/>
    <row r="474" customFormat="1" ht="15" customHeight="1" x14ac:dyDescent="0.35"/>
    <row r="475" customFormat="1" ht="15" customHeight="1" x14ac:dyDescent="0.35"/>
    <row r="476" customFormat="1" ht="15" customHeight="1" x14ac:dyDescent="0.35"/>
    <row r="477" customFormat="1" ht="15" customHeight="1" x14ac:dyDescent="0.35"/>
    <row r="478" customFormat="1" ht="15" customHeight="1" x14ac:dyDescent="0.35"/>
    <row r="479" customFormat="1" ht="15" customHeight="1" x14ac:dyDescent="0.35"/>
    <row r="480" customFormat="1" ht="15" customHeight="1" x14ac:dyDescent="0.35"/>
    <row r="481" customFormat="1" ht="15" customHeight="1" x14ac:dyDescent="0.35"/>
    <row r="482" customFormat="1" ht="15" customHeight="1" x14ac:dyDescent="0.35"/>
    <row r="483" customFormat="1" ht="15" customHeight="1" x14ac:dyDescent="0.35"/>
    <row r="484" customFormat="1" ht="15" customHeight="1" x14ac:dyDescent="0.35"/>
    <row r="485" customFormat="1" ht="15" customHeight="1" x14ac:dyDescent="0.35"/>
    <row r="486" customFormat="1" ht="15" customHeight="1" x14ac:dyDescent="0.35"/>
    <row r="487" customFormat="1" ht="15" customHeight="1" x14ac:dyDescent="0.35"/>
    <row r="488" customFormat="1" ht="15" customHeight="1" x14ac:dyDescent="0.35"/>
    <row r="489" customFormat="1" ht="15" customHeight="1" x14ac:dyDescent="0.35"/>
    <row r="490" customFormat="1" ht="15" customHeight="1" x14ac:dyDescent="0.35"/>
    <row r="491" customFormat="1" ht="15" customHeight="1" x14ac:dyDescent="0.35"/>
    <row r="492" customFormat="1" ht="15" customHeight="1" x14ac:dyDescent="0.35"/>
    <row r="493" customFormat="1" ht="15" customHeight="1" x14ac:dyDescent="0.35"/>
    <row r="494" customFormat="1" ht="15" customHeight="1" x14ac:dyDescent="0.35"/>
    <row r="495" customFormat="1" ht="15" customHeight="1" x14ac:dyDescent="0.35"/>
    <row r="496" customFormat="1" ht="15" customHeight="1" x14ac:dyDescent="0.35"/>
    <row r="497" customFormat="1" ht="15" customHeight="1" x14ac:dyDescent="0.35"/>
    <row r="498" customFormat="1" ht="15" customHeight="1" x14ac:dyDescent="0.35"/>
    <row r="499" customFormat="1" ht="15" customHeight="1" x14ac:dyDescent="0.35"/>
    <row r="500" customFormat="1" ht="15" customHeight="1" x14ac:dyDescent="0.35"/>
    <row r="501" customFormat="1" ht="15" customHeight="1" x14ac:dyDescent="0.35"/>
    <row r="502" customFormat="1" ht="15" customHeight="1" x14ac:dyDescent="0.35"/>
    <row r="503" customFormat="1" ht="15" customHeight="1" x14ac:dyDescent="0.35"/>
    <row r="504" customFormat="1" ht="15" customHeight="1" x14ac:dyDescent="0.35"/>
    <row r="505" customFormat="1" ht="15" customHeight="1" x14ac:dyDescent="0.35"/>
    <row r="506" customFormat="1" ht="15" customHeight="1" x14ac:dyDescent="0.35"/>
    <row r="507" customFormat="1" ht="15" customHeight="1" x14ac:dyDescent="0.35"/>
    <row r="508" customFormat="1" ht="15" customHeight="1" x14ac:dyDescent="0.35"/>
    <row r="509" customFormat="1" ht="15" customHeight="1" x14ac:dyDescent="0.35"/>
    <row r="510" customFormat="1" ht="15" customHeight="1" x14ac:dyDescent="0.35"/>
    <row r="511" customFormat="1" ht="15" customHeight="1" x14ac:dyDescent="0.35"/>
    <row r="512" customFormat="1" ht="15" customHeight="1" x14ac:dyDescent="0.35"/>
    <row r="513" customFormat="1" ht="15" customHeight="1" x14ac:dyDescent="0.35"/>
    <row r="514" customFormat="1" ht="15" customHeight="1" x14ac:dyDescent="0.35"/>
    <row r="515" customFormat="1" ht="15" customHeight="1" x14ac:dyDescent="0.35"/>
    <row r="516" customFormat="1" ht="15" customHeight="1" x14ac:dyDescent="0.35"/>
    <row r="517" customFormat="1" ht="15" customHeight="1" x14ac:dyDescent="0.35"/>
    <row r="518" customFormat="1" ht="15" customHeight="1" x14ac:dyDescent="0.35"/>
    <row r="519" customFormat="1" ht="15" customHeight="1" x14ac:dyDescent="0.35"/>
    <row r="520" customFormat="1" ht="15" customHeight="1" x14ac:dyDescent="0.35"/>
    <row r="521" customFormat="1" ht="15" customHeight="1" x14ac:dyDescent="0.35"/>
    <row r="522" customFormat="1" ht="15" customHeight="1" x14ac:dyDescent="0.35"/>
    <row r="523" customFormat="1" ht="15" customHeight="1" x14ac:dyDescent="0.35"/>
    <row r="524" customFormat="1" ht="15" customHeight="1" x14ac:dyDescent="0.35"/>
    <row r="525" customFormat="1" ht="15" customHeight="1" x14ac:dyDescent="0.35"/>
    <row r="526" customFormat="1" ht="15" customHeight="1" x14ac:dyDescent="0.35"/>
    <row r="527" customFormat="1" ht="15" customHeight="1" x14ac:dyDescent="0.35"/>
    <row r="528" customFormat="1" ht="15" customHeight="1" x14ac:dyDescent="0.35"/>
    <row r="529" customFormat="1" ht="15" customHeight="1" x14ac:dyDescent="0.35"/>
    <row r="530" customFormat="1" ht="15" customHeight="1" x14ac:dyDescent="0.35"/>
    <row r="531" customFormat="1" ht="15" customHeight="1" x14ac:dyDescent="0.35"/>
    <row r="532" customFormat="1" ht="15" customHeight="1" x14ac:dyDescent="0.35"/>
    <row r="533" customFormat="1" ht="15" customHeight="1" x14ac:dyDescent="0.35"/>
    <row r="534" customFormat="1" ht="15" customHeight="1" x14ac:dyDescent="0.35"/>
    <row r="535" customFormat="1" ht="15" customHeight="1" x14ac:dyDescent="0.35"/>
    <row r="536" customFormat="1" ht="15" customHeight="1" x14ac:dyDescent="0.35"/>
    <row r="537" customFormat="1" ht="15" customHeight="1" x14ac:dyDescent="0.35"/>
    <row r="538" customFormat="1" ht="15" customHeight="1" x14ac:dyDescent="0.35"/>
    <row r="539" customFormat="1" ht="15" customHeight="1" x14ac:dyDescent="0.35"/>
    <row r="540" customFormat="1" ht="15" customHeight="1" x14ac:dyDescent="0.35"/>
    <row r="541" customFormat="1" ht="15" customHeight="1" x14ac:dyDescent="0.35"/>
    <row r="542" customFormat="1" ht="15" customHeight="1" x14ac:dyDescent="0.35"/>
    <row r="543" customFormat="1" ht="15" customHeight="1" x14ac:dyDescent="0.35"/>
    <row r="544" customFormat="1" ht="15" customHeight="1" x14ac:dyDescent="0.35"/>
    <row r="545" customFormat="1" ht="15" customHeight="1" x14ac:dyDescent="0.35"/>
    <row r="546" customFormat="1" ht="15" customHeight="1" x14ac:dyDescent="0.35"/>
    <row r="547" customFormat="1" ht="15" customHeight="1" x14ac:dyDescent="0.35"/>
    <row r="548" customFormat="1" ht="15" customHeight="1" x14ac:dyDescent="0.35"/>
    <row r="549" customFormat="1" ht="15" customHeight="1" x14ac:dyDescent="0.35"/>
    <row r="550" customFormat="1" ht="15" customHeight="1" x14ac:dyDescent="0.35"/>
    <row r="551" customFormat="1" ht="15" customHeight="1" x14ac:dyDescent="0.35"/>
    <row r="552" customFormat="1" ht="15" customHeight="1" x14ac:dyDescent="0.35"/>
    <row r="553" customFormat="1" ht="15" customHeight="1" x14ac:dyDescent="0.35"/>
    <row r="554" customFormat="1" ht="15" customHeight="1" x14ac:dyDescent="0.35"/>
    <row r="555" customFormat="1" ht="15" customHeight="1" x14ac:dyDescent="0.35"/>
    <row r="556" customFormat="1" ht="15" customHeight="1" x14ac:dyDescent="0.35"/>
    <row r="557" customFormat="1" ht="15" customHeight="1" x14ac:dyDescent="0.35"/>
    <row r="558" customFormat="1" ht="15" customHeight="1" x14ac:dyDescent="0.35"/>
    <row r="559" customFormat="1" ht="15" customHeight="1" x14ac:dyDescent="0.35"/>
    <row r="560" customFormat="1" ht="15" customHeight="1" x14ac:dyDescent="0.35"/>
    <row r="561" customFormat="1" ht="15" customHeight="1" x14ac:dyDescent="0.35"/>
    <row r="562" customFormat="1" ht="15" customHeight="1" x14ac:dyDescent="0.35"/>
    <row r="563" customFormat="1" ht="15" customHeight="1" x14ac:dyDescent="0.35"/>
    <row r="564" customFormat="1" ht="15" customHeight="1" x14ac:dyDescent="0.35"/>
    <row r="565" customFormat="1" ht="15" customHeight="1" x14ac:dyDescent="0.35"/>
    <row r="566" customFormat="1" ht="15" customHeight="1" x14ac:dyDescent="0.35"/>
    <row r="567" customFormat="1" ht="15" customHeight="1" x14ac:dyDescent="0.35"/>
    <row r="568" customFormat="1" ht="15" customHeight="1" x14ac:dyDescent="0.35"/>
    <row r="569" customFormat="1" ht="15" customHeight="1" x14ac:dyDescent="0.35"/>
    <row r="570" customFormat="1" ht="15" customHeight="1" x14ac:dyDescent="0.35"/>
    <row r="571" customFormat="1" ht="15" customHeight="1" x14ac:dyDescent="0.35"/>
    <row r="572" customFormat="1" ht="15" customHeight="1" x14ac:dyDescent="0.35"/>
    <row r="573" customFormat="1" ht="15" customHeight="1" x14ac:dyDescent="0.35"/>
    <row r="574" customFormat="1" ht="15" customHeight="1" x14ac:dyDescent="0.35"/>
    <row r="575" customFormat="1" ht="15" customHeight="1" x14ac:dyDescent="0.35"/>
    <row r="576" customFormat="1" ht="15" customHeight="1" x14ac:dyDescent="0.35"/>
    <row r="577" customFormat="1" ht="15" customHeight="1" x14ac:dyDescent="0.35"/>
    <row r="578" customFormat="1" ht="15" customHeight="1" x14ac:dyDescent="0.35"/>
    <row r="579" customFormat="1" ht="15" customHeight="1" x14ac:dyDescent="0.35"/>
    <row r="580" customFormat="1" ht="15" customHeight="1" x14ac:dyDescent="0.35"/>
    <row r="581" customFormat="1" ht="15" customHeight="1" x14ac:dyDescent="0.35"/>
    <row r="582" customFormat="1" ht="15" customHeight="1" x14ac:dyDescent="0.35"/>
    <row r="583" customFormat="1" ht="15" customHeight="1" x14ac:dyDescent="0.35"/>
    <row r="584" customFormat="1" ht="15" customHeight="1" x14ac:dyDescent="0.35"/>
    <row r="585" customFormat="1" ht="15" customHeight="1" x14ac:dyDescent="0.35"/>
    <row r="586" customFormat="1" ht="15" customHeight="1" x14ac:dyDescent="0.35"/>
    <row r="587" customFormat="1" ht="15" customHeight="1" x14ac:dyDescent="0.35"/>
    <row r="588" customFormat="1" ht="15" customHeight="1" x14ac:dyDescent="0.35"/>
    <row r="589" customFormat="1" ht="15" customHeight="1" x14ac:dyDescent="0.35"/>
    <row r="590" customFormat="1" ht="15" customHeight="1" x14ac:dyDescent="0.35"/>
    <row r="591" customFormat="1" ht="15" customHeight="1" x14ac:dyDescent="0.35"/>
    <row r="592" customFormat="1" ht="15" customHeight="1" x14ac:dyDescent="0.35"/>
    <row r="593" customFormat="1" ht="15" customHeight="1" x14ac:dyDescent="0.35"/>
    <row r="594" customFormat="1" ht="15" customHeight="1" x14ac:dyDescent="0.35"/>
    <row r="595" customFormat="1" ht="15" customHeight="1" x14ac:dyDescent="0.35"/>
    <row r="596" customFormat="1" ht="15" customHeight="1" x14ac:dyDescent="0.35"/>
    <row r="597" customFormat="1" ht="15" customHeight="1" x14ac:dyDescent="0.35"/>
    <row r="598" customFormat="1" ht="15" customHeight="1" x14ac:dyDescent="0.35"/>
    <row r="599" customFormat="1" ht="15" customHeight="1" x14ac:dyDescent="0.35"/>
    <row r="600" customFormat="1" ht="15" customHeight="1" x14ac:dyDescent="0.35"/>
    <row r="601" customFormat="1" ht="15" customHeight="1" x14ac:dyDescent="0.35"/>
    <row r="602" customFormat="1" ht="15" customHeight="1" x14ac:dyDescent="0.35"/>
    <row r="603" customFormat="1" ht="15" customHeight="1" x14ac:dyDescent="0.35"/>
    <row r="604" customFormat="1" ht="15" customHeight="1" x14ac:dyDescent="0.35"/>
    <row r="605" customFormat="1" ht="15" customHeight="1" x14ac:dyDescent="0.35"/>
    <row r="606" customFormat="1" ht="15" customHeight="1" x14ac:dyDescent="0.35"/>
    <row r="607" customFormat="1" ht="15" customHeight="1" x14ac:dyDescent="0.35"/>
    <row r="608" customFormat="1" ht="15" customHeight="1" x14ac:dyDescent="0.35"/>
    <row r="609" customFormat="1" ht="15" customHeight="1" x14ac:dyDescent="0.35"/>
    <row r="610" customFormat="1" ht="15" customHeight="1" x14ac:dyDescent="0.35"/>
    <row r="611" customFormat="1" ht="15" customHeight="1" x14ac:dyDescent="0.35"/>
    <row r="612" customFormat="1" ht="15" customHeight="1" x14ac:dyDescent="0.35"/>
    <row r="613" customFormat="1" ht="15" customHeight="1" x14ac:dyDescent="0.35"/>
    <row r="614" customFormat="1" ht="15" customHeight="1" x14ac:dyDescent="0.35"/>
    <row r="615" customFormat="1" ht="15" customHeight="1" x14ac:dyDescent="0.35"/>
    <row r="616" customFormat="1" ht="15" customHeight="1" x14ac:dyDescent="0.35"/>
    <row r="617" customFormat="1" ht="15" customHeight="1" x14ac:dyDescent="0.35"/>
    <row r="618" customFormat="1" ht="15" customHeight="1" x14ac:dyDescent="0.35"/>
    <row r="619" customFormat="1" ht="15" customHeight="1" x14ac:dyDescent="0.35"/>
    <row r="620" customFormat="1" ht="15" customHeight="1" x14ac:dyDescent="0.35"/>
    <row r="621" customFormat="1" ht="15" customHeight="1" x14ac:dyDescent="0.35"/>
    <row r="622" customFormat="1" ht="15" customHeight="1" x14ac:dyDescent="0.35"/>
    <row r="623" customFormat="1" ht="15" customHeight="1" x14ac:dyDescent="0.35"/>
    <row r="624" customFormat="1" ht="15" customHeight="1" x14ac:dyDescent="0.35"/>
    <row r="625" customFormat="1" ht="15" customHeight="1" x14ac:dyDescent="0.35"/>
    <row r="626" customFormat="1" ht="15" customHeight="1" x14ac:dyDescent="0.35"/>
    <row r="627" customFormat="1" ht="15" customHeight="1" x14ac:dyDescent="0.35"/>
    <row r="628" customFormat="1" ht="15" customHeight="1" x14ac:dyDescent="0.35"/>
    <row r="629" customFormat="1" ht="15" customHeight="1" x14ac:dyDescent="0.35"/>
    <row r="630" customFormat="1" ht="15" customHeight="1" x14ac:dyDescent="0.35"/>
    <row r="631" customFormat="1" ht="15" customHeight="1" x14ac:dyDescent="0.35"/>
    <row r="632" customFormat="1" ht="15" customHeight="1" x14ac:dyDescent="0.35"/>
    <row r="633" customFormat="1" ht="15" customHeight="1" x14ac:dyDescent="0.35"/>
    <row r="634" customFormat="1" ht="15" customHeight="1" x14ac:dyDescent="0.35"/>
    <row r="635" customFormat="1" ht="15" customHeight="1" x14ac:dyDescent="0.35"/>
    <row r="636" customFormat="1" ht="15" customHeight="1" x14ac:dyDescent="0.35"/>
    <row r="637" customFormat="1" ht="15" customHeight="1" x14ac:dyDescent="0.35"/>
    <row r="638" customFormat="1" ht="15" customHeight="1" x14ac:dyDescent="0.35"/>
    <row r="639" customFormat="1" ht="15" customHeight="1" x14ac:dyDescent="0.35"/>
    <row r="640" customFormat="1" ht="15" customHeight="1" x14ac:dyDescent="0.35"/>
    <row r="641" customFormat="1" ht="15" customHeight="1" x14ac:dyDescent="0.35"/>
    <row r="642" customFormat="1" ht="15" customHeight="1" x14ac:dyDescent="0.35"/>
    <row r="643" customFormat="1" ht="15" customHeight="1" x14ac:dyDescent="0.35"/>
    <row r="644" customFormat="1" ht="15" customHeight="1" x14ac:dyDescent="0.35"/>
    <row r="645" customFormat="1" ht="15" customHeight="1" x14ac:dyDescent="0.35"/>
    <row r="646" customFormat="1" ht="15" customHeight="1" x14ac:dyDescent="0.35"/>
    <row r="647" customFormat="1" ht="15" customHeight="1" x14ac:dyDescent="0.35"/>
    <row r="648" customFormat="1" ht="15" customHeight="1" x14ac:dyDescent="0.35"/>
    <row r="649" customFormat="1" ht="15" customHeight="1" x14ac:dyDescent="0.35"/>
    <row r="650" customFormat="1" ht="15" customHeight="1" x14ac:dyDescent="0.35"/>
    <row r="651" customFormat="1" ht="15" customHeight="1" x14ac:dyDescent="0.35"/>
    <row r="652" customFormat="1" ht="15" customHeight="1" x14ac:dyDescent="0.35"/>
    <row r="653" customFormat="1" ht="15" customHeight="1" x14ac:dyDescent="0.35"/>
    <row r="654" customFormat="1" ht="15" customHeight="1" x14ac:dyDescent="0.35"/>
    <row r="655" customFormat="1" ht="15" customHeight="1" x14ac:dyDescent="0.35"/>
    <row r="656" customFormat="1" ht="15" customHeight="1" x14ac:dyDescent="0.35"/>
    <row r="657" customFormat="1" ht="15" customHeight="1" x14ac:dyDescent="0.35"/>
    <row r="658" customFormat="1" ht="15" customHeight="1" x14ac:dyDescent="0.35"/>
    <row r="659" customFormat="1" ht="15" customHeight="1" x14ac:dyDescent="0.35"/>
    <row r="660" customFormat="1" ht="15" customHeight="1" x14ac:dyDescent="0.35"/>
    <row r="661" customFormat="1" ht="15" customHeight="1" x14ac:dyDescent="0.35"/>
    <row r="662" customFormat="1" ht="15" customHeight="1" x14ac:dyDescent="0.35"/>
    <row r="663" customFormat="1" ht="15" customHeight="1" x14ac:dyDescent="0.35"/>
    <row r="664" customFormat="1" ht="15" customHeight="1" x14ac:dyDescent="0.35"/>
    <row r="665" customFormat="1" ht="15" customHeight="1" x14ac:dyDescent="0.35"/>
    <row r="666" customFormat="1" ht="15" customHeight="1" x14ac:dyDescent="0.35"/>
    <row r="667" customFormat="1" ht="15" customHeight="1" x14ac:dyDescent="0.35"/>
    <row r="668" customFormat="1" ht="15" customHeight="1" x14ac:dyDescent="0.35"/>
    <row r="669" customFormat="1" ht="15" customHeight="1" x14ac:dyDescent="0.35"/>
    <row r="670" customFormat="1" ht="15" customHeight="1" x14ac:dyDescent="0.35"/>
    <row r="671" customFormat="1" ht="15" customHeight="1" x14ac:dyDescent="0.35"/>
    <row r="672" customFormat="1" ht="15" customHeight="1" x14ac:dyDescent="0.35"/>
    <row r="673" customFormat="1" ht="15" customHeight="1" x14ac:dyDescent="0.35"/>
    <row r="674" customFormat="1" ht="15" customHeight="1" x14ac:dyDescent="0.35"/>
    <row r="675" customFormat="1" ht="15" customHeight="1" x14ac:dyDescent="0.35"/>
    <row r="676" customFormat="1" ht="15" customHeight="1" x14ac:dyDescent="0.35"/>
    <row r="677" customFormat="1" ht="15" customHeight="1" x14ac:dyDescent="0.35"/>
    <row r="678" customFormat="1" ht="15" customHeight="1" x14ac:dyDescent="0.35"/>
    <row r="679" customFormat="1" ht="15" customHeight="1" x14ac:dyDescent="0.35"/>
    <row r="680" customFormat="1" ht="15" customHeight="1" x14ac:dyDescent="0.35"/>
    <row r="681" customFormat="1" ht="15" customHeight="1" x14ac:dyDescent="0.35"/>
    <row r="682" customFormat="1" ht="15" customHeight="1" x14ac:dyDescent="0.35"/>
    <row r="683" customFormat="1" ht="15" customHeight="1" x14ac:dyDescent="0.35"/>
    <row r="684" customFormat="1" ht="15" customHeight="1" x14ac:dyDescent="0.35"/>
    <row r="685" customFormat="1" ht="15" customHeight="1" x14ac:dyDescent="0.35"/>
    <row r="686" customFormat="1" ht="15" customHeight="1" x14ac:dyDescent="0.35"/>
    <row r="687" customFormat="1" ht="15" customHeight="1" x14ac:dyDescent="0.35"/>
    <row r="688" customFormat="1" ht="15" customHeight="1" x14ac:dyDescent="0.35"/>
    <row r="689" customFormat="1" ht="15" customHeight="1" x14ac:dyDescent="0.35"/>
    <row r="690" customFormat="1" ht="15" customHeight="1" x14ac:dyDescent="0.35"/>
    <row r="691" customFormat="1" ht="15" customHeight="1" x14ac:dyDescent="0.35"/>
    <row r="692" customFormat="1" ht="15" customHeight="1" x14ac:dyDescent="0.35"/>
    <row r="693" customFormat="1" ht="15" customHeight="1" x14ac:dyDescent="0.35"/>
    <row r="694" customFormat="1" ht="15" customHeight="1" x14ac:dyDescent="0.35"/>
    <row r="695" customFormat="1" ht="15" customHeight="1" x14ac:dyDescent="0.35"/>
    <row r="696" customFormat="1" ht="15" customHeight="1" x14ac:dyDescent="0.35"/>
    <row r="697" customFormat="1" ht="15" customHeight="1" x14ac:dyDescent="0.35"/>
    <row r="698" customFormat="1" ht="15" customHeight="1" x14ac:dyDescent="0.35"/>
    <row r="699" customFormat="1" ht="15" customHeight="1" x14ac:dyDescent="0.35"/>
    <row r="700" customFormat="1" ht="15" customHeight="1" x14ac:dyDescent="0.35"/>
    <row r="701" customFormat="1" ht="15" customHeight="1" x14ac:dyDescent="0.35"/>
    <row r="702" customFormat="1" ht="15" customHeight="1" x14ac:dyDescent="0.35"/>
    <row r="703" customFormat="1" ht="15" customHeight="1" x14ac:dyDescent="0.35"/>
    <row r="704" customFormat="1" ht="15" customHeight="1" x14ac:dyDescent="0.35"/>
    <row r="705" customFormat="1" ht="15" customHeight="1" x14ac:dyDescent="0.35"/>
    <row r="706" customFormat="1" ht="15" customHeight="1" x14ac:dyDescent="0.35"/>
    <row r="707" customFormat="1" ht="15" customHeight="1" x14ac:dyDescent="0.35"/>
    <row r="708" customFormat="1" ht="15" customHeight="1" x14ac:dyDescent="0.35"/>
    <row r="709" customFormat="1" ht="15" customHeight="1" x14ac:dyDescent="0.35"/>
    <row r="710" customFormat="1" ht="15" customHeight="1" x14ac:dyDescent="0.35"/>
    <row r="711" customFormat="1" ht="15" customHeight="1" x14ac:dyDescent="0.35"/>
    <row r="712" customFormat="1" ht="15" customHeight="1" x14ac:dyDescent="0.35"/>
    <row r="713" customFormat="1" ht="15" customHeight="1" x14ac:dyDescent="0.35"/>
    <row r="714" customFormat="1" ht="15" customHeight="1" x14ac:dyDescent="0.35"/>
    <row r="715" customFormat="1" ht="15" customHeight="1" x14ac:dyDescent="0.35"/>
    <row r="716" customFormat="1" ht="15" customHeight="1" x14ac:dyDescent="0.35"/>
    <row r="717" customFormat="1" ht="15" customHeight="1" x14ac:dyDescent="0.35"/>
    <row r="718" customFormat="1" ht="15" customHeight="1" x14ac:dyDescent="0.35"/>
    <row r="719" customFormat="1" ht="15" customHeight="1" x14ac:dyDescent="0.35"/>
    <row r="720" customFormat="1" ht="15" customHeight="1" x14ac:dyDescent="0.35"/>
    <row r="721" customFormat="1" ht="15" customHeight="1" x14ac:dyDescent="0.35"/>
    <row r="722" customFormat="1" ht="15" customHeight="1" x14ac:dyDescent="0.35"/>
    <row r="723" customFormat="1" ht="15" customHeight="1" x14ac:dyDescent="0.35"/>
    <row r="724" customFormat="1" ht="15" customHeight="1" x14ac:dyDescent="0.35"/>
    <row r="725" customFormat="1" ht="15" customHeight="1" x14ac:dyDescent="0.35"/>
    <row r="726" customFormat="1" ht="15" customHeight="1" x14ac:dyDescent="0.35"/>
    <row r="727" customFormat="1" ht="15" customHeight="1" x14ac:dyDescent="0.35"/>
    <row r="728" customFormat="1" ht="15" customHeight="1" x14ac:dyDescent="0.35"/>
    <row r="729" customFormat="1" ht="15" customHeight="1" x14ac:dyDescent="0.35"/>
    <row r="730" customFormat="1" ht="15" customHeight="1" x14ac:dyDescent="0.35"/>
    <row r="731" customFormat="1" ht="15" customHeight="1" x14ac:dyDescent="0.35"/>
    <row r="732" customFormat="1" ht="15" customHeight="1" x14ac:dyDescent="0.35"/>
    <row r="733" customFormat="1" ht="15" customHeight="1" x14ac:dyDescent="0.35"/>
    <row r="734" customFormat="1" ht="15" customHeight="1" x14ac:dyDescent="0.35"/>
    <row r="735" customFormat="1" ht="15" customHeight="1" x14ac:dyDescent="0.35"/>
    <row r="736" customFormat="1" ht="15" customHeight="1" x14ac:dyDescent="0.35"/>
    <row r="737" customFormat="1" ht="15" customHeight="1" x14ac:dyDescent="0.35"/>
    <row r="738" customFormat="1" ht="15" customHeight="1" x14ac:dyDescent="0.35"/>
    <row r="739" customFormat="1" ht="15" customHeight="1" x14ac:dyDescent="0.35"/>
    <row r="740" customFormat="1" ht="15" customHeight="1" x14ac:dyDescent="0.35"/>
    <row r="741" customFormat="1" ht="15" customHeight="1" x14ac:dyDescent="0.35"/>
    <row r="742" customFormat="1" ht="15" customHeight="1" x14ac:dyDescent="0.35"/>
    <row r="743" customFormat="1" ht="15" customHeight="1" x14ac:dyDescent="0.35"/>
    <row r="744" customFormat="1" ht="15" customHeight="1" x14ac:dyDescent="0.35"/>
    <row r="745" customFormat="1" ht="15" customHeight="1" x14ac:dyDescent="0.35"/>
    <row r="746" customFormat="1" ht="15" customHeight="1" x14ac:dyDescent="0.35"/>
    <row r="747" customFormat="1" ht="15" customHeight="1" x14ac:dyDescent="0.35"/>
    <row r="748" customFormat="1" ht="15" customHeight="1" x14ac:dyDescent="0.35"/>
    <row r="749" customFormat="1" ht="15" customHeight="1" x14ac:dyDescent="0.35"/>
    <row r="750" customFormat="1" ht="15" customHeight="1" x14ac:dyDescent="0.35"/>
    <row r="751" customFormat="1" ht="15" customHeight="1" x14ac:dyDescent="0.35"/>
    <row r="752" customFormat="1" ht="15" customHeight="1" x14ac:dyDescent="0.35"/>
    <row r="753" customFormat="1" ht="15" customHeight="1" x14ac:dyDescent="0.35"/>
    <row r="754" customFormat="1" ht="15" customHeight="1" x14ac:dyDescent="0.35"/>
    <row r="755" customFormat="1" ht="15" customHeight="1" x14ac:dyDescent="0.35"/>
    <row r="756" customFormat="1" ht="15" customHeight="1" x14ac:dyDescent="0.35"/>
    <row r="757" customFormat="1" ht="15" customHeight="1" x14ac:dyDescent="0.35"/>
    <row r="758" customFormat="1" ht="15" customHeight="1" x14ac:dyDescent="0.35"/>
    <row r="759" customFormat="1" ht="15" customHeight="1" x14ac:dyDescent="0.35"/>
    <row r="760" customFormat="1" ht="15" customHeight="1" x14ac:dyDescent="0.35"/>
    <row r="761" customFormat="1" ht="15" customHeight="1" x14ac:dyDescent="0.35"/>
    <row r="762" customFormat="1" ht="15" customHeight="1" x14ac:dyDescent="0.35"/>
    <row r="763" customFormat="1" ht="15" customHeight="1" x14ac:dyDescent="0.35"/>
    <row r="764" customFormat="1" ht="15" customHeight="1" x14ac:dyDescent="0.35"/>
    <row r="765" customFormat="1" ht="15" customHeight="1" x14ac:dyDescent="0.35"/>
    <row r="766" customFormat="1" ht="15" customHeight="1" x14ac:dyDescent="0.35"/>
    <row r="767" customFormat="1" ht="15" customHeight="1" x14ac:dyDescent="0.35"/>
    <row r="768" customFormat="1" ht="15" customHeight="1" x14ac:dyDescent="0.35"/>
    <row r="769" customFormat="1" ht="15" customHeight="1" x14ac:dyDescent="0.35"/>
    <row r="770" customFormat="1" ht="15" customHeight="1" x14ac:dyDescent="0.35"/>
    <row r="771" customFormat="1" ht="15" customHeight="1" x14ac:dyDescent="0.35"/>
    <row r="772" customFormat="1" ht="15" customHeight="1" x14ac:dyDescent="0.35"/>
    <row r="773" customFormat="1" ht="15" customHeight="1" x14ac:dyDescent="0.35"/>
    <row r="774" customFormat="1" ht="15" customHeight="1" x14ac:dyDescent="0.35"/>
    <row r="775" customFormat="1" ht="15" customHeight="1" x14ac:dyDescent="0.35"/>
    <row r="776" customFormat="1" ht="15" customHeight="1" x14ac:dyDescent="0.35"/>
    <row r="777" customFormat="1" ht="15" customHeight="1" x14ac:dyDescent="0.35"/>
    <row r="778" customFormat="1" ht="15" customHeight="1" x14ac:dyDescent="0.35"/>
    <row r="779" customFormat="1" ht="15" customHeight="1" x14ac:dyDescent="0.35"/>
    <row r="780" customFormat="1" ht="15" customHeight="1" x14ac:dyDescent="0.35"/>
    <row r="781" customFormat="1" ht="15" customHeight="1" x14ac:dyDescent="0.35"/>
    <row r="782" customFormat="1" ht="15" customHeight="1" x14ac:dyDescent="0.35"/>
    <row r="783" customFormat="1" ht="15" customHeight="1" x14ac:dyDescent="0.35"/>
    <row r="784" customFormat="1" ht="15" customHeight="1" x14ac:dyDescent="0.35"/>
    <row r="785" customFormat="1" ht="15" customHeight="1" x14ac:dyDescent="0.35"/>
    <row r="786" customFormat="1" ht="15" customHeight="1" x14ac:dyDescent="0.35"/>
    <row r="787" customFormat="1" ht="15" customHeight="1" x14ac:dyDescent="0.35"/>
    <row r="788" customFormat="1" ht="15" customHeight="1" x14ac:dyDescent="0.35"/>
    <row r="789" customFormat="1" ht="15" customHeight="1" x14ac:dyDescent="0.35"/>
    <row r="790" customFormat="1" ht="15" customHeight="1" x14ac:dyDescent="0.35"/>
    <row r="791" customFormat="1" ht="15" customHeight="1" x14ac:dyDescent="0.35"/>
    <row r="792" customFormat="1" ht="15" customHeight="1" x14ac:dyDescent="0.35"/>
    <row r="793" customFormat="1" ht="15" customHeight="1" x14ac:dyDescent="0.35"/>
    <row r="794" customFormat="1" ht="15" customHeight="1" x14ac:dyDescent="0.35"/>
    <row r="795" customFormat="1" ht="15" customHeight="1" x14ac:dyDescent="0.35"/>
    <row r="796" customFormat="1" ht="15" customHeight="1" x14ac:dyDescent="0.35"/>
    <row r="797" customFormat="1" ht="15" customHeight="1" x14ac:dyDescent="0.35"/>
    <row r="798" customFormat="1" ht="15" customHeight="1" x14ac:dyDescent="0.35"/>
    <row r="799" customFormat="1" ht="15" customHeight="1" x14ac:dyDescent="0.35"/>
    <row r="800" customFormat="1" ht="15" customHeight="1" x14ac:dyDescent="0.35"/>
    <row r="801" customFormat="1" ht="15" customHeight="1" x14ac:dyDescent="0.35"/>
    <row r="802" customFormat="1" ht="15" customHeight="1" x14ac:dyDescent="0.35"/>
    <row r="803" customFormat="1" ht="15" customHeight="1" x14ac:dyDescent="0.35"/>
    <row r="804" customFormat="1" ht="15" customHeight="1" x14ac:dyDescent="0.35"/>
    <row r="805" customFormat="1" ht="15" customHeight="1" x14ac:dyDescent="0.35"/>
    <row r="806" customFormat="1" ht="15" customHeight="1" x14ac:dyDescent="0.35"/>
    <row r="807" customFormat="1" ht="15" customHeight="1" x14ac:dyDescent="0.35"/>
    <row r="808" customFormat="1" ht="15" customHeight="1" x14ac:dyDescent="0.35"/>
    <row r="809" customFormat="1" ht="15" customHeight="1" x14ac:dyDescent="0.35"/>
    <row r="810" customFormat="1" ht="15" customHeight="1" x14ac:dyDescent="0.35"/>
    <row r="811" customFormat="1" ht="15" customHeight="1" x14ac:dyDescent="0.35"/>
    <row r="812" customFormat="1" ht="15" customHeight="1" x14ac:dyDescent="0.35"/>
    <row r="813" customFormat="1" ht="15" customHeight="1" x14ac:dyDescent="0.35"/>
    <row r="814" customFormat="1" ht="15" customHeight="1" x14ac:dyDescent="0.35"/>
    <row r="815" customFormat="1" ht="15" customHeight="1" x14ac:dyDescent="0.35"/>
    <row r="816" customFormat="1" ht="15" customHeight="1" x14ac:dyDescent="0.35"/>
    <row r="817" customFormat="1" ht="15" customHeight="1" x14ac:dyDescent="0.35"/>
    <row r="818" customFormat="1" ht="15" customHeight="1" x14ac:dyDescent="0.35"/>
    <row r="819" customFormat="1" ht="15" customHeight="1" x14ac:dyDescent="0.35"/>
    <row r="820" customFormat="1" ht="15" customHeight="1" x14ac:dyDescent="0.35"/>
    <row r="821" customFormat="1" ht="15" customHeight="1" x14ac:dyDescent="0.35"/>
    <row r="822" customFormat="1" ht="15" customHeight="1" x14ac:dyDescent="0.35"/>
    <row r="823" customFormat="1" ht="15" customHeight="1" x14ac:dyDescent="0.35"/>
    <row r="824" customFormat="1" ht="15" customHeight="1" x14ac:dyDescent="0.35"/>
    <row r="825" customFormat="1" ht="15" customHeight="1" x14ac:dyDescent="0.35"/>
    <row r="826" customFormat="1" ht="15" customHeight="1" x14ac:dyDescent="0.35"/>
    <row r="827" customFormat="1" ht="15" customHeight="1" x14ac:dyDescent="0.35"/>
    <row r="828" customFormat="1" ht="15" customHeight="1" x14ac:dyDescent="0.35"/>
    <row r="829" customFormat="1" ht="15" customHeight="1" x14ac:dyDescent="0.35"/>
    <row r="830" customFormat="1" ht="15" customHeight="1" x14ac:dyDescent="0.35"/>
    <row r="831" customFormat="1" ht="15" customHeight="1" x14ac:dyDescent="0.35"/>
    <row r="832" customFormat="1" ht="15" customHeight="1" x14ac:dyDescent="0.35"/>
    <row r="833" customFormat="1" ht="15" customHeight="1" x14ac:dyDescent="0.35"/>
    <row r="834" customFormat="1" ht="15" customHeight="1" x14ac:dyDescent="0.35"/>
    <row r="835" customFormat="1" ht="15" customHeight="1" x14ac:dyDescent="0.35"/>
    <row r="836" customFormat="1" ht="15" customHeight="1" x14ac:dyDescent="0.35"/>
    <row r="837" customFormat="1" ht="15" customHeight="1" x14ac:dyDescent="0.35"/>
    <row r="838" customFormat="1" ht="15" customHeight="1" x14ac:dyDescent="0.35"/>
    <row r="839" customFormat="1" ht="15" customHeight="1" x14ac:dyDescent="0.35"/>
    <row r="840" customFormat="1" ht="15" customHeight="1" x14ac:dyDescent="0.35"/>
    <row r="841" customFormat="1" ht="15" customHeight="1" x14ac:dyDescent="0.35"/>
    <row r="842" customFormat="1" ht="15" customHeight="1" x14ac:dyDescent="0.35"/>
    <row r="843" customFormat="1" ht="15" customHeight="1" x14ac:dyDescent="0.35"/>
    <row r="844" customFormat="1" ht="15" customHeight="1" x14ac:dyDescent="0.35"/>
    <row r="845" customFormat="1" ht="15" customHeight="1" x14ac:dyDescent="0.35"/>
    <row r="846" customFormat="1" ht="15" customHeight="1" x14ac:dyDescent="0.35"/>
    <row r="847" customFormat="1" ht="15" customHeight="1" x14ac:dyDescent="0.35"/>
    <row r="848" customFormat="1" ht="15" customHeight="1" x14ac:dyDescent="0.35"/>
    <row r="849" customFormat="1" ht="15" customHeight="1" x14ac:dyDescent="0.35"/>
    <row r="850" customFormat="1" ht="15" customHeight="1" x14ac:dyDescent="0.35"/>
    <row r="851" customFormat="1" ht="15" customHeight="1" x14ac:dyDescent="0.35"/>
    <row r="852" customFormat="1" ht="15" customHeight="1" x14ac:dyDescent="0.35"/>
    <row r="853" customFormat="1" ht="15" customHeight="1" x14ac:dyDescent="0.35"/>
    <row r="854" customFormat="1" ht="15" customHeight="1" x14ac:dyDescent="0.35"/>
    <row r="855" customFormat="1" ht="15" customHeight="1" x14ac:dyDescent="0.35"/>
    <row r="856" customFormat="1" ht="15" customHeight="1" x14ac:dyDescent="0.35"/>
    <row r="857" customFormat="1" ht="15" customHeight="1" x14ac:dyDescent="0.35"/>
    <row r="858" customFormat="1" ht="15" customHeight="1" x14ac:dyDescent="0.35"/>
    <row r="859" customFormat="1" ht="15" customHeight="1" x14ac:dyDescent="0.35"/>
    <row r="860" customFormat="1" ht="15" customHeight="1" x14ac:dyDescent="0.35"/>
    <row r="861" customFormat="1" ht="15" customHeight="1" x14ac:dyDescent="0.35"/>
    <row r="862" customFormat="1" ht="15" customHeight="1" x14ac:dyDescent="0.35"/>
    <row r="863" customFormat="1" ht="15" customHeight="1" x14ac:dyDescent="0.35"/>
    <row r="864" customFormat="1" ht="15" customHeight="1" x14ac:dyDescent="0.35"/>
    <row r="865" customFormat="1" ht="15" customHeight="1" x14ac:dyDescent="0.35"/>
    <row r="866" customFormat="1" ht="15" customHeight="1" x14ac:dyDescent="0.35"/>
    <row r="867" customFormat="1" ht="15" customHeight="1" x14ac:dyDescent="0.35"/>
    <row r="868" customFormat="1" ht="15" customHeight="1" x14ac:dyDescent="0.35"/>
    <row r="869" customFormat="1" ht="15" customHeight="1" x14ac:dyDescent="0.35"/>
    <row r="870" customFormat="1" ht="15" customHeight="1" x14ac:dyDescent="0.35"/>
    <row r="871" customFormat="1" ht="15" customHeight="1" x14ac:dyDescent="0.35"/>
    <row r="872" customFormat="1" ht="15" customHeight="1" x14ac:dyDescent="0.35"/>
    <row r="873" customFormat="1" ht="15" customHeight="1" x14ac:dyDescent="0.35"/>
    <row r="874" customFormat="1" ht="15" customHeight="1" x14ac:dyDescent="0.35"/>
    <row r="875" customFormat="1" ht="15" customHeight="1" x14ac:dyDescent="0.35"/>
    <row r="876" customFormat="1" ht="15" customHeight="1" x14ac:dyDescent="0.35"/>
    <row r="877" customFormat="1" ht="15" customHeight="1" x14ac:dyDescent="0.35"/>
    <row r="878" customFormat="1" ht="15" customHeight="1" x14ac:dyDescent="0.35"/>
    <row r="879" customFormat="1" ht="15" customHeight="1" x14ac:dyDescent="0.35"/>
    <row r="880" customFormat="1" ht="15" customHeight="1" x14ac:dyDescent="0.35"/>
    <row r="881" customFormat="1" ht="15" customHeight="1" x14ac:dyDescent="0.35"/>
    <row r="882" customFormat="1" ht="15" customHeight="1" x14ac:dyDescent="0.35"/>
    <row r="883" customFormat="1" ht="15" customHeight="1" x14ac:dyDescent="0.35"/>
    <row r="884" customFormat="1" ht="15" customHeight="1" x14ac:dyDescent="0.35"/>
    <row r="885" customFormat="1" ht="15" customHeight="1" x14ac:dyDescent="0.35"/>
    <row r="886" customFormat="1" ht="15" customHeight="1" x14ac:dyDescent="0.35"/>
    <row r="887" customFormat="1" ht="15" customHeight="1" x14ac:dyDescent="0.35"/>
    <row r="888" customFormat="1" ht="15" customHeight="1" x14ac:dyDescent="0.35"/>
    <row r="889" customFormat="1" ht="15" customHeight="1" x14ac:dyDescent="0.35"/>
    <row r="890" customFormat="1" ht="15" customHeight="1" x14ac:dyDescent="0.35"/>
    <row r="891" customFormat="1" ht="15" customHeight="1" x14ac:dyDescent="0.35"/>
    <row r="892" customFormat="1" ht="15" customHeight="1" x14ac:dyDescent="0.35"/>
    <row r="893" customFormat="1" ht="15" customHeight="1" x14ac:dyDescent="0.35"/>
    <row r="894" customFormat="1" ht="15" customHeight="1" x14ac:dyDescent="0.35"/>
    <row r="895" customFormat="1" ht="15" customHeight="1" x14ac:dyDescent="0.35"/>
    <row r="896" customFormat="1" ht="15" customHeight="1" x14ac:dyDescent="0.35"/>
    <row r="897" customFormat="1" ht="15" customHeight="1" x14ac:dyDescent="0.35"/>
    <row r="898" customFormat="1" ht="15" customHeight="1" x14ac:dyDescent="0.35"/>
    <row r="899" customFormat="1" ht="15" customHeight="1" x14ac:dyDescent="0.35"/>
    <row r="900" customFormat="1" ht="15" customHeight="1" x14ac:dyDescent="0.35"/>
    <row r="901" customFormat="1" ht="15" customHeight="1" x14ac:dyDescent="0.35"/>
    <row r="902" customFormat="1" ht="15" customHeight="1" x14ac:dyDescent="0.35"/>
    <row r="903" customFormat="1" ht="15" customHeight="1" x14ac:dyDescent="0.35"/>
    <row r="904" customFormat="1" ht="15" customHeight="1" x14ac:dyDescent="0.35"/>
    <row r="905" customFormat="1" ht="15" customHeight="1" x14ac:dyDescent="0.35"/>
    <row r="906" customFormat="1" ht="15" customHeight="1" x14ac:dyDescent="0.35"/>
    <row r="907" customFormat="1" ht="15" customHeight="1" x14ac:dyDescent="0.35"/>
    <row r="908" customFormat="1" ht="15" customHeight="1" x14ac:dyDescent="0.35"/>
    <row r="909" customFormat="1" ht="15" customHeight="1" x14ac:dyDescent="0.35"/>
    <row r="910" customFormat="1" ht="15" customHeight="1" x14ac:dyDescent="0.35"/>
    <row r="911" customFormat="1" ht="15" customHeight="1" x14ac:dyDescent="0.35"/>
    <row r="912" customFormat="1" ht="15" customHeight="1" x14ac:dyDescent="0.35"/>
    <row r="913" customFormat="1" ht="15" customHeight="1" x14ac:dyDescent="0.35"/>
    <row r="914" customFormat="1" ht="15" customHeight="1" x14ac:dyDescent="0.35"/>
    <row r="915" customFormat="1" ht="15" customHeight="1" x14ac:dyDescent="0.35"/>
    <row r="916" customFormat="1" ht="15" customHeight="1" x14ac:dyDescent="0.35"/>
    <row r="917" customFormat="1" ht="15" customHeight="1" x14ac:dyDescent="0.35"/>
    <row r="918" customFormat="1" ht="15" customHeight="1" x14ac:dyDescent="0.35"/>
    <row r="919" customFormat="1" ht="15" customHeight="1" x14ac:dyDescent="0.35"/>
    <row r="920" customFormat="1" ht="15" customHeight="1" x14ac:dyDescent="0.35"/>
    <row r="921" customFormat="1" ht="15" customHeight="1" x14ac:dyDescent="0.35"/>
    <row r="922" customFormat="1" ht="15" customHeight="1" x14ac:dyDescent="0.35"/>
    <row r="923" customFormat="1" ht="15" customHeight="1" x14ac:dyDescent="0.35"/>
    <row r="924" customFormat="1" ht="15" customHeight="1" x14ac:dyDescent="0.35"/>
    <row r="925" customFormat="1" ht="15" customHeight="1" x14ac:dyDescent="0.35"/>
    <row r="926" customFormat="1" ht="15" customHeight="1" x14ac:dyDescent="0.35"/>
    <row r="927" customFormat="1" ht="15" customHeight="1" x14ac:dyDescent="0.35"/>
    <row r="928" customFormat="1" ht="15" customHeight="1" x14ac:dyDescent="0.35"/>
    <row r="929" customFormat="1" ht="15" customHeight="1" x14ac:dyDescent="0.35"/>
    <row r="930" customFormat="1" ht="15" customHeight="1" x14ac:dyDescent="0.35"/>
    <row r="931" customFormat="1" ht="15" customHeight="1" x14ac:dyDescent="0.35"/>
    <row r="932" customFormat="1" ht="15" customHeight="1" x14ac:dyDescent="0.35"/>
    <row r="933" customFormat="1" ht="15" customHeight="1" x14ac:dyDescent="0.35"/>
    <row r="934" customFormat="1" ht="15" customHeight="1" x14ac:dyDescent="0.35"/>
    <row r="935" customFormat="1" ht="15" customHeight="1" x14ac:dyDescent="0.35"/>
    <row r="936" customFormat="1" ht="15" customHeight="1" x14ac:dyDescent="0.35"/>
    <row r="937" customFormat="1" ht="15" customHeight="1" x14ac:dyDescent="0.35"/>
    <row r="938" customFormat="1" ht="15" customHeight="1" x14ac:dyDescent="0.35"/>
    <row r="939" customFormat="1" ht="15" customHeight="1" x14ac:dyDescent="0.35"/>
    <row r="940" customFormat="1" ht="15" customHeight="1" x14ac:dyDescent="0.35"/>
    <row r="941" customFormat="1" ht="15" customHeight="1" x14ac:dyDescent="0.35"/>
    <row r="942" customFormat="1" ht="15" customHeight="1" x14ac:dyDescent="0.35"/>
    <row r="943" customFormat="1" ht="15" customHeight="1" x14ac:dyDescent="0.35"/>
    <row r="944" customFormat="1" ht="15" customHeight="1" x14ac:dyDescent="0.35"/>
    <row r="945" customFormat="1" ht="15" customHeight="1" x14ac:dyDescent="0.35"/>
    <row r="946" customFormat="1" ht="15" customHeight="1" x14ac:dyDescent="0.35"/>
    <row r="947" customFormat="1" ht="15" customHeight="1" x14ac:dyDescent="0.35"/>
    <row r="948" customFormat="1" ht="15" customHeight="1" x14ac:dyDescent="0.35"/>
    <row r="949" customFormat="1" ht="15" customHeight="1" x14ac:dyDescent="0.35"/>
    <row r="950" customFormat="1" ht="15" customHeight="1" x14ac:dyDescent="0.35"/>
    <row r="951" customFormat="1" ht="15" customHeight="1" x14ac:dyDescent="0.35"/>
    <row r="952" customFormat="1" ht="15" customHeight="1" x14ac:dyDescent="0.35"/>
    <row r="953" customFormat="1" ht="15" customHeight="1" x14ac:dyDescent="0.35"/>
    <row r="954" customFormat="1" ht="15" customHeight="1" x14ac:dyDescent="0.35"/>
    <row r="955" customFormat="1" ht="15" customHeight="1" x14ac:dyDescent="0.35"/>
    <row r="956" customFormat="1" ht="15" customHeight="1" x14ac:dyDescent="0.35"/>
    <row r="957" customFormat="1" ht="15" customHeight="1" x14ac:dyDescent="0.35"/>
    <row r="958" customFormat="1" ht="15" customHeight="1" x14ac:dyDescent="0.35"/>
    <row r="959" customFormat="1" ht="15" customHeight="1" x14ac:dyDescent="0.35"/>
    <row r="960" customFormat="1" ht="15" customHeight="1" x14ac:dyDescent="0.35"/>
    <row r="961" customFormat="1" ht="15" customHeight="1" x14ac:dyDescent="0.35"/>
    <row r="962" customFormat="1" ht="15" customHeight="1" x14ac:dyDescent="0.35"/>
    <row r="963" customFormat="1" ht="15" customHeight="1" x14ac:dyDescent="0.35"/>
    <row r="964" customFormat="1" ht="15" customHeight="1" x14ac:dyDescent="0.35"/>
    <row r="965" customFormat="1" ht="15" customHeight="1" x14ac:dyDescent="0.35"/>
    <row r="966" customFormat="1" ht="15" customHeight="1" x14ac:dyDescent="0.35"/>
    <row r="967" customFormat="1" ht="15" customHeight="1" x14ac:dyDescent="0.35"/>
    <row r="968" customFormat="1" ht="15" customHeight="1" x14ac:dyDescent="0.35"/>
    <row r="969" customFormat="1" ht="15" customHeight="1" x14ac:dyDescent="0.35"/>
    <row r="970" customFormat="1" ht="15" customHeight="1" x14ac:dyDescent="0.35"/>
    <row r="971" customFormat="1" ht="15" customHeight="1" x14ac:dyDescent="0.35"/>
    <row r="972" customFormat="1" ht="15" customHeight="1" x14ac:dyDescent="0.35"/>
    <row r="973" customFormat="1" ht="15" customHeight="1" x14ac:dyDescent="0.35"/>
    <row r="974" customFormat="1" ht="15" customHeight="1" x14ac:dyDescent="0.35"/>
    <row r="975" customFormat="1" ht="15" customHeight="1" x14ac:dyDescent="0.35"/>
    <row r="976" customFormat="1" ht="15" customHeight="1" x14ac:dyDescent="0.35"/>
    <row r="977" customFormat="1" ht="15" customHeight="1" x14ac:dyDescent="0.35"/>
    <row r="978" customFormat="1" ht="15" customHeight="1" x14ac:dyDescent="0.35"/>
    <row r="979" customFormat="1" ht="15" customHeight="1" x14ac:dyDescent="0.35"/>
    <row r="980" customFormat="1" ht="15" customHeight="1" x14ac:dyDescent="0.35"/>
    <row r="981" customFormat="1" ht="15" customHeight="1" x14ac:dyDescent="0.35"/>
    <row r="982" customFormat="1" ht="15" customHeight="1" x14ac:dyDescent="0.35"/>
    <row r="983" customFormat="1" ht="15" customHeight="1" x14ac:dyDescent="0.35"/>
    <row r="984" customFormat="1" ht="15" customHeight="1" x14ac:dyDescent="0.35"/>
    <row r="985" customFormat="1" ht="15" customHeight="1" x14ac:dyDescent="0.35"/>
    <row r="986" customFormat="1" ht="15" customHeight="1" x14ac:dyDescent="0.35"/>
    <row r="987" customFormat="1" ht="15" customHeight="1" x14ac:dyDescent="0.35"/>
    <row r="988" customFormat="1" ht="15" customHeight="1" x14ac:dyDescent="0.35"/>
    <row r="989" customFormat="1" ht="15" customHeight="1" x14ac:dyDescent="0.35"/>
    <row r="990" customFormat="1" ht="15" customHeight="1" x14ac:dyDescent="0.35"/>
    <row r="991" customFormat="1" ht="15" customHeight="1" x14ac:dyDescent="0.35"/>
    <row r="992" customFormat="1" ht="15" customHeight="1" x14ac:dyDescent="0.35"/>
    <row r="993" customFormat="1" ht="15" customHeight="1" x14ac:dyDescent="0.35"/>
    <row r="994" customFormat="1" ht="15" customHeight="1" x14ac:dyDescent="0.35"/>
    <row r="995" customFormat="1" ht="15" customHeight="1" x14ac:dyDescent="0.35"/>
    <row r="996" customFormat="1" ht="15" customHeight="1" x14ac:dyDescent="0.35"/>
    <row r="997" customFormat="1" ht="15" customHeight="1" x14ac:dyDescent="0.35"/>
    <row r="998" customFormat="1" ht="15" customHeight="1" x14ac:dyDescent="0.35"/>
    <row r="999" customFormat="1" ht="15" customHeight="1" x14ac:dyDescent="0.35"/>
    <row r="1000" customFormat="1" ht="15" customHeight="1" x14ac:dyDescent="0.35"/>
    <row r="1001" customFormat="1" ht="15" customHeight="1" x14ac:dyDescent="0.35"/>
    <row r="1002" customFormat="1" ht="15" customHeight="1" x14ac:dyDescent="0.35"/>
    <row r="1003" customFormat="1" ht="15" customHeight="1" x14ac:dyDescent="0.35"/>
    <row r="1004" customFormat="1" ht="15" customHeight="1" x14ac:dyDescent="0.35"/>
    <row r="1005" customFormat="1" ht="15" customHeight="1" x14ac:dyDescent="0.35"/>
    <row r="1006" customFormat="1" ht="15" customHeight="1" x14ac:dyDescent="0.35"/>
    <row r="1007" customFormat="1" ht="15" customHeight="1" x14ac:dyDescent="0.35"/>
    <row r="1008" customFormat="1" ht="15" customHeight="1" x14ac:dyDescent="0.35"/>
    <row r="1009" customFormat="1" ht="15" customHeight="1" x14ac:dyDescent="0.35"/>
    <row r="1010" customFormat="1" ht="15" customHeight="1" x14ac:dyDescent="0.35"/>
    <row r="1011" customFormat="1" ht="15" customHeight="1" x14ac:dyDescent="0.35"/>
    <row r="1012" customFormat="1" ht="15" customHeight="1" x14ac:dyDescent="0.35"/>
    <row r="1013" customFormat="1" ht="15" customHeight="1" x14ac:dyDescent="0.35"/>
    <row r="1014" customFormat="1" ht="15" customHeight="1" x14ac:dyDescent="0.35"/>
    <row r="1015" customFormat="1" ht="15" customHeight="1" x14ac:dyDescent="0.35"/>
    <row r="1016" customFormat="1" ht="15" customHeight="1" x14ac:dyDescent="0.35"/>
    <row r="1017" customFormat="1" ht="15" customHeight="1" x14ac:dyDescent="0.35"/>
    <row r="1018" customFormat="1" ht="15" customHeight="1" x14ac:dyDescent="0.35"/>
    <row r="1019" customFormat="1" ht="15" customHeight="1" x14ac:dyDescent="0.35"/>
    <row r="1020" customFormat="1" ht="15" customHeight="1" x14ac:dyDescent="0.35"/>
    <row r="1021" customFormat="1" ht="15" customHeight="1" x14ac:dyDescent="0.35"/>
    <row r="1022" customFormat="1" ht="15" customHeight="1" x14ac:dyDescent="0.35"/>
    <row r="1023" customFormat="1" ht="15" customHeight="1" x14ac:dyDescent="0.35"/>
    <row r="1024" customFormat="1" ht="15" customHeight="1" x14ac:dyDescent="0.35"/>
    <row r="1025" customFormat="1" ht="15" customHeight="1" x14ac:dyDescent="0.35"/>
    <row r="1026" customFormat="1" ht="15" customHeight="1" x14ac:dyDescent="0.35"/>
    <row r="1027" customFormat="1" ht="15" customHeight="1" x14ac:dyDescent="0.35"/>
    <row r="1028" customFormat="1" ht="15" customHeight="1" x14ac:dyDescent="0.35"/>
    <row r="1029" customFormat="1" ht="15" customHeight="1" x14ac:dyDescent="0.35"/>
    <row r="1030" customFormat="1" ht="15" customHeight="1" x14ac:dyDescent="0.35"/>
    <row r="1031" customFormat="1" ht="15" customHeight="1" x14ac:dyDescent="0.35"/>
    <row r="1032" customFormat="1" ht="15" customHeight="1" x14ac:dyDescent="0.35"/>
    <row r="1033" customFormat="1" ht="15" customHeight="1" x14ac:dyDescent="0.35"/>
    <row r="1034" customFormat="1" ht="15" customHeight="1" x14ac:dyDescent="0.35"/>
    <row r="1035" customFormat="1" ht="15" customHeight="1" x14ac:dyDescent="0.35"/>
    <row r="1036" customFormat="1" ht="15" customHeight="1" x14ac:dyDescent="0.35"/>
    <row r="1037" customFormat="1" ht="15" customHeight="1" x14ac:dyDescent="0.35"/>
    <row r="1038" customFormat="1" ht="15" customHeight="1" x14ac:dyDescent="0.35"/>
    <row r="1039" customFormat="1" ht="15" customHeight="1" x14ac:dyDescent="0.35"/>
    <row r="1040" customFormat="1" ht="15" customHeight="1" x14ac:dyDescent="0.35"/>
    <row r="1041" customFormat="1" ht="15" customHeight="1" x14ac:dyDescent="0.35"/>
    <row r="1042" customFormat="1" ht="15" customHeight="1" x14ac:dyDescent="0.35"/>
    <row r="1043" customFormat="1" ht="15" customHeight="1" x14ac:dyDescent="0.35"/>
    <row r="1044" customFormat="1" ht="15" customHeight="1" x14ac:dyDescent="0.35"/>
    <row r="1045" customFormat="1" ht="15" customHeight="1" x14ac:dyDescent="0.35"/>
    <row r="1046" customFormat="1" ht="15" customHeight="1" x14ac:dyDescent="0.35"/>
    <row r="1047" customFormat="1" ht="15" customHeight="1" x14ac:dyDescent="0.35"/>
    <row r="1048" customFormat="1" ht="15" customHeight="1" x14ac:dyDescent="0.35"/>
    <row r="1049" customFormat="1" ht="15" customHeight="1" x14ac:dyDescent="0.35"/>
    <row r="1050" customFormat="1" ht="15" customHeight="1" x14ac:dyDescent="0.35"/>
    <row r="1051" customFormat="1" ht="15" customHeight="1" x14ac:dyDescent="0.35"/>
    <row r="1052" customFormat="1" ht="15" customHeight="1" x14ac:dyDescent="0.35"/>
    <row r="1053" customFormat="1" ht="15" customHeight="1" x14ac:dyDescent="0.35"/>
    <row r="1054" customFormat="1" ht="15" customHeight="1" x14ac:dyDescent="0.35"/>
    <row r="1055" customFormat="1" ht="15" customHeight="1" x14ac:dyDescent="0.35"/>
    <row r="1056" customFormat="1" ht="15" customHeight="1" x14ac:dyDescent="0.35"/>
    <row r="1057" customFormat="1" ht="15" customHeight="1" x14ac:dyDescent="0.35"/>
    <row r="1058" customFormat="1" ht="15" customHeight="1" x14ac:dyDescent="0.35"/>
    <row r="1059" customFormat="1" ht="15" customHeight="1" x14ac:dyDescent="0.35"/>
    <row r="1060" customFormat="1" ht="15" customHeight="1" x14ac:dyDescent="0.35"/>
    <row r="1061" customFormat="1" ht="15" customHeight="1" x14ac:dyDescent="0.35"/>
    <row r="1062" customFormat="1" ht="15" customHeight="1" x14ac:dyDescent="0.35"/>
    <row r="1063" customFormat="1" ht="15" customHeight="1" x14ac:dyDescent="0.35"/>
    <row r="1064" customFormat="1" ht="15" customHeight="1" x14ac:dyDescent="0.35"/>
    <row r="1065" customFormat="1" ht="15" customHeight="1" x14ac:dyDescent="0.35"/>
    <row r="1066" customFormat="1" ht="15" customHeight="1" x14ac:dyDescent="0.35"/>
    <row r="1067" customFormat="1" ht="15" customHeight="1" x14ac:dyDescent="0.35"/>
    <row r="1068" customFormat="1" ht="15" customHeight="1" x14ac:dyDescent="0.35"/>
    <row r="1069" customFormat="1" ht="15" customHeight="1" x14ac:dyDescent="0.35"/>
    <row r="1070" customFormat="1" ht="15" customHeight="1" x14ac:dyDescent="0.35"/>
    <row r="1071" customFormat="1" ht="15" customHeight="1" x14ac:dyDescent="0.35"/>
    <row r="1072" customFormat="1" ht="15" customHeight="1" x14ac:dyDescent="0.35"/>
    <row r="1073" customFormat="1" ht="15" customHeight="1" x14ac:dyDescent="0.35"/>
    <row r="1074" customFormat="1" ht="15" customHeight="1" x14ac:dyDescent="0.35"/>
    <row r="1075" customFormat="1" ht="15" customHeight="1" x14ac:dyDescent="0.35"/>
    <row r="1076" customFormat="1" ht="15" customHeight="1" x14ac:dyDescent="0.35"/>
    <row r="1077" customFormat="1" ht="15" customHeight="1" x14ac:dyDescent="0.35"/>
    <row r="1078" customFormat="1" ht="15" customHeight="1" x14ac:dyDescent="0.35"/>
    <row r="1079" customFormat="1" ht="15" customHeight="1" x14ac:dyDescent="0.35"/>
    <row r="1080" customFormat="1" ht="15" customHeight="1" x14ac:dyDescent="0.35"/>
    <row r="1081" customFormat="1" ht="15" customHeight="1" x14ac:dyDescent="0.35"/>
    <row r="1082" customFormat="1" ht="15" customHeight="1" x14ac:dyDescent="0.35"/>
    <row r="1083" customFormat="1" ht="15" customHeight="1" x14ac:dyDescent="0.35"/>
    <row r="1084" customFormat="1" ht="15" customHeight="1" x14ac:dyDescent="0.35"/>
    <row r="1085" customFormat="1" ht="15" customHeight="1" x14ac:dyDescent="0.35"/>
    <row r="1086" customFormat="1" ht="15" customHeight="1" x14ac:dyDescent="0.35"/>
    <row r="1087" customFormat="1" ht="15" customHeight="1" x14ac:dyDescent="0.35"/>
    <row r="1088" customFormat="1" ht="15" customHeight="1" x14ac:dyDescent="0.35"/>
    <row r="1089" customFormat="1" ht="15" customHeight="1" x14ac:dyDescent="0.35"/>
    <row r="1090" customFormat="1" ht="15" customHeight="1" x14ac:dyDescent="0.35"/>
    <row r="1091" customFormat="1" ht="15" customHeight="1" x14ac:dyDescent="0.35"/>
    <row r="1092" customFormat="1" ht="15" customHeight="1" x14ac:dyDescent="0.35"/>
    <row r="1093" customFormat="1" ht="15" customHeight="1" x14ac:dyDescent="0.35"/>
    <row r="1094" customFormat="1" ht="15" customHeight="1" x14ac:dyDescent="0.35"/>
    <row r="1095" customFormat="1" ht="15" customHeight="1" x14ac:dyDescent="0.35"/>
    <row r="1096" customFormat="1" ht="15" customHeight="1" x14ac:dyDescent="0.35"/>
    <row r="1097" customFormat="1" ht="15" customHeight="1" x14ac:dyDescent="0.35"/>
    <row r="1098" customFormat="1" ht="15" customHeight="1" x14ac:dyDescent="0.35"/>
    <row r="1099" customFormat="1" ht="15" customHeight="1" x14ac:dyDescent="0.35"/>
    <row r="1100" customFormat="1" ht="15" customHeight="1" x14ac:dyDescent="0.35"/>
    <row r="1101" customFormat="1" ht="15" customHeight="1" x14ac:dyDescent="0.35"/>
    <row r="1102" customFormat="1" ht="15" customHeight="1" x14ac:dyDescent="0.35"/>
    <row r="1103" customFormat="1" ht="15" customHeight="1" x14ac:dyDescent="0.35"/>
    <row r="1104" customFormat="1" ht="15" customHeight="1" x14ac:dyDescent="0.35"/>
    <row r="1105" customFormat="1" ht="15" customHeight="1" x14ac:dyDescent="0.35"/>
    <row r="1106" customFormat="1" ht="15" customHeight="1" x14ac:dyDescent="0.35"/>
    <row r="1107" customFormat="1" ht="15" customHeight="1" x14ac:dyDescent="0.35"/>
    <row r="1108" customFormat="1" ht="15" customHeight="1" x14ac:dyDescent="0.35"/>
    <row r="1109" customFormat="1" ht="15" customHeight="1" x14ac:dyDescent="0.35"/>
    <row r="1110" customFormat="1" ht="15" customHeight="1" x14ac:dyDescent="0.35"/>
    <row r="1111" customFormat="1" ht="15" customHeight="1" x14ac:dyDescent="0.35"/>
    <row r="1112" customFormat="1" ht="15" customHeight="1" x14ac:dyDescent="0.35"/>
    <row r="1113" customFormat="1" ht="15" customHeight="1" x14ac:dyDescent="0.35"/>
    <row r="1114" customFormat="1" ht="15" customHeight="1" x14ac:dyDescent="0.35"/>
    <row r="1115" customFormat="1" ht="15" customHeight="1" x14ac:dyDescent="0.35"/>
    <row r="1116" customFormat="1" ht="15" customHeight="1" x14ac:dyDescent="0.35"/>
    <row r="1117" customFormat="1" ht="15" customHeight="1" x14ac:dyDescent="0.35"/>
    <row r="1118" customFormat="1" ht="15" customHeight="1" x14ac:dyDescent="0.35"/>
    <row r="1119" customFormat="1" ht="15" customHeight="1" x14ac:dyDescent="0.35"/>
    <row r="1120" customFormat="1" ht="15" customHeight="1" x14ac:dyDescent="0.35"/>
    <row r="1121" customFormat="1" ht="15" customHeight="1" x14ac:dyDescent="0.35"/>
    <row r="1122" customFormat="1" ht="15" customHeight="1" x14ac:dyDescent="0.35"/>
    <row r="1123" customFormat="1" ht="15" customHeight="1" x14ac:dyDescent="0.35"/>
    <row r="1124" customFormat="1" ht="15" customHeight="1" x14ac:dyDescent="0.35"/>
    <row r="1125" customFormat="1" ht="15" customHeight="1" x14ac:dyDescent="0.35"/>
    <row r="1126" customFormat="1" ht="15" customHeight="1" x14ac:dyDescent="0.35"/>
    <row r="1127" customFormat="1" ht="15" customHeight="1" x14ac:dyDescent="0.35"/>
    <row r="1128" customFormat="1" ht="15" customHeight="1" x14ac:dyDescent="0.35"/>
    <row r="1129" customFormat="1" ht="15" customHeight="1" x14ac:dyDescent="0.35"/>
    <row r="1130" customFormat="1" ht="15" customHeight="1" x14ac:dyDescent="0.35"/>
    <row r="1131" customFormat="1" ht="15" customHeight="1" x14ac:dyDescent="0.35"/>
    <row r="1132" customFormat="1" ht="15" customHeight="1" x14ac:dyDescent="0.35"/>
    <row r="1133" customFormat="1" ht="15" customHeight="1" x14ac:dyDescent="0.35"/>
    <row r="1134" customFormat="1" ht="15" customHeight="1" x14ac:dyDescent="0.35"/>
    <row r="1135" customFormat="1" ht="15" customHeight="1" x14ac:dyDescent="0.35"/>
    <row r="1136" customFormat="1" ht="15" customHeight="1" x14ac:dyDescent="0.35"/>
    <row r="1137" customFormat="1" ht="15" customHeight="1" x14ac:dyDescent="0.35"/>
    <row r="1138" customFormat="1" ht="15" customHeight="1" x14ac:dyDescent="0.35"/>
    <row r="1139" customFormat="1" ht="15" customHeight="1" x14ac:dyDescent="0.35"/>
    <row r="1140" customFormat="1" ht="15" customHeight="1" x14ac:dyDescent="0.35"/>
    <row r="1141" customFormat="1" ht="15" customHeight="1" x14ac:dyDescent="0.35"/>
    <row r="1142" customFormat="1" ht="15" customHeight="1" x14ac:dyDescent="0.35"/>
    <row r="1143" customFormat="1" ht="15" customHeight="1" x14ac:dyDescent="0.35"/>
    <row r="1144" customFormat="1" ht="15" customHeight="1" x14ac:dyDescent="0.35"/>
    <row r="1145" customFormat="1" ht="15" customHeight="1" x14ac:dyDescent="0.35"/>
    <row r="1146" customFormat="1" ht="15" customHeight="1" x14ac:dyDescent="0.35"/>
    <row r="1147" customFormat="1" ht="15" customHeight="1" x14ac:dyDescent="0.35"/>
    <row r="1148" customFormat="1" ht="15" customHeight="1" x14ac:dyDescent="0.35"/>
    <row r="1149" customFormat="1" ht="15" customHeight="1" x14ac:dyDescent="0.35"/>
    <row r="1150" customFormat="1" ht="15" customHeight="1" x14ac:dyDescent="0.35"/>
    <row r="1151" customFormat="1" ht="15" customHeight="1" x14ac:dyDescent="0.35"/>
    <row r="1152" customFormat="1" ht="15" customHeight="1" x14ac:dyDescent="0.35"/>
    <row r="1153" customFormat="1" ht="15" customHeight="1" x14ac:dyDescent="0.35"/>
    <row r="1154" customFormat="1" ht="15" customHeight="1" x14ac:dyDescent="0.35"/>
    <row r="1155" customFormat="1" ht="15" customHeight="1" x14ac:dyDescent="0.35"/>
    <row r="1156" customFormat="1" ht="15" customHeight="1" x14ac:dyDescent="0.35"/>
    <row r="1157" customFormat="1" ht="15" customHeight="1" x14ac:dyDescent="0.35"/>
    <row r="1158" customFormat="1" ht="15" customHeight="1" x14ac:dyDescent="0.35"/>
    <row r="1159" customFormat="1" ht="15" customHeight="1" x14ac:dyDescent="0.35"/>
    <row r="1160" customFormat="1" ht="15" customHeight="1" x14ac:dyDescent="0.35"/>
    <row r="1161" customFormat="1" ht="15" customHeight="1" x14ac:dyDescent="0.35"/>
    <row r="1162" customFormat="1" ht="15" customHeight="1" x14ac:dyDescent="0.35"/>
    <row r="1163" customFormat="1" ht="15" customHeight="1" x14ac:dyDescent="0.35"/>
    <row r="1164" customFormat="1" ht="15" customHeight="1" x14ac:dyDescent="0.35"/>
    <row r="1165" customFormat="1" ht="15" customHeight="1" x14ac:dyDescent="0.35"/>
    <row r="1166" customFormat="1" ht="15" customHeight="1" x14ac:dyDescent="0.35"/>
    <row r="1167" customFormat="1" ht="15" customHeight="1" x14ac:dyDescent="0.35"/>
    <row r="1168" customFormat="1" ht="15" customHeight="1" x14ac:dyDescent="0.35"/>
    <row r="1169" customFormat="1" ht="15" customHeight="1" x14ac:dyDescent="0.35"/>
    <row r="1170" customFormat="1" ht="15" customHeight="1" x14ac:dyDescent="0.35"/>
    <row r="1171" customFormat="1" ht="15" customHeight="1" x14ac:dyDescent="0.35"/>
    <row r="1172" customFormat="1" ht="15" customHeight="1" x14ac:dyDescent="0.35"/>
    <row r="1173" customFormat="1" ht="15" customHeight="1" x14ac:dyDescent="0.35"/>
    <row r="1174" customFormat="1" ht="15" customHeight="1" x14ac:dyDescent="0.35"/>
    <row r="1175" customFormat="1" ht="15" customHeight="1" x14ac:dyDescent="0.35"/>
    <row r="1176" customFormat="1" ht="15" customHeight="1" x14ac:dyDescent="0.35"/>
    <row r="1177" customFormat="1" ht="15" customHeight="1" x14ac:dyDescent="0.35"/>
    <row r="1178" customFormat="1" ht="15" customHeight="1" x14ac:dyDescent="0.35"/>
    <row r="1179" customFormat="1" ht="15" customHeight="1" x14ac:dyDescent="0.35"/>
    <row r="1180" customFormat="1" ht="15" customHeight="1" x14ac:dyDescent="0.35"/>
    <row r="1181" customFormat="1" ht="15" customHeight="1" x14ac:dyDescent="0.35"/>
    <row r="1182" customFormat="1" ht="15" customHeight="1" x14ac:dyDescent="0.35"/>
    <row r="1183" customFormat="1" ht="15" customHeight="1" x14ac:dyDescent="0.35"/>
    <row r="1184" customFormat="1" ht="15" customHeight="1" x14ac:dyDescent="0.35"/>
    <row r="1185" customFormat="1" ht="15" customHeight="1" x14ac:dyDescent="0.35"/>
    <row r="1186" customFormat="1" ht="15" customHeight="1" x14ac:dyDescent="0.35"/>
    <row r="1187" customFormat="1" ht="15" customHeight="1" x14ac:dyDescent="0.35"/>
    <row r="1188" customFormat="1" ht="15" customHeight="1" x14ac:dyDescent="0.35"/>
    <row r="1189" customFormat="1" ht="15" customHeight="1" x14ac:dyDescent="0.35"/>
    <row r="1190" customFormat="1" ht="15" customHeight="1" x14ac:dyDescent="0.35"/>
    <row r="1191" customFormat="1" ht="15" customHeight="1" x14ac:dyDescent="0.35"/>
    <row r="1192" customFormat="1" ht="15" customHeight="1" x14ac:dyDescent="0.35"/>
    <row r="1193" customFormat="1" ht="15" customHeight="1" x14ac:dyDescent="0.35"/>
    <row r="1194" customFormat="1" ht="15" customHeight="1" x14ac:dyDescent="0.35"/>
    <row r="1195" customFormat="1" ht="15" customHeight="1" x14ac:dyDescent="0.35"/>
    <row r="1196" customFormat="1" ht="15" customHeight="1" x14ac:dyDescent="0.35"/>
    <row r="1197" customFormat="1" ht="15" customHeight="1" x14ac:dyDescent="0.35"/>
    <row r="1198" customFormat="1" ht="15" customHeight="1" x14ac:dyDescent="0.35"/>
    <row r="1199" customFormat="1" ht="15" customHeight="1" x14ac:dyDescent="0.35"/>
    <row r="1200" customFormat="1" ht="15" customHeight="1" x14ac:dyDescent="0.35"/>
    <row r="1201" customFormat="1" ht="15" customHeight="1" x14ac:dyDescent="0.35"/>
    <row r="1202" customFormat="1" ht="15" customHeight="1" x14ac:dyDescent="0.35"/>
    <row r="1203" customFormat="1" ht="15" customHeight="1" x14ac:dyDescent="0.35"/>
    <row r="1204" customFormat="1" ht="15" customHeight="1" x14ac:dyDescent="0.35"/>
    <row r="1205" customFormat="1" ht="15" customHeight="1" x14ac:dyDescent="0.35"/>
    <row r="1206" customFormat="1" ht="15" customHeight="1" x14ac:dyDescent="0.35"/>
    <row r="1207" customFormat="1" ht="15" customHeight="1" x14ac:dyDescent="0.35"/>
    <row r="1208" customFormat="1" ht="15" customHeight="1" x14ac:dyDescent="0.35"/>
    <row r="1209" customFormat="1" ht="15" customHeight="1" x14ac:dyDescent="0.35"/>
    <row r="1210" customFormat="1" ht="15" customHeight="1" x14ac:dyDescent="0.35"/>
    <row r="1211" customFormat="1" ht="15" customHeight="1" x14ac:dyDescent="0.35"/>
    <row r="1212" customFormat="1" ht="15" customHeight="1" x14ac:dyDescent="0.35"/>
    <row r="1213" customFormat="1" ht="15" customHeight="1" x14ac:dyDescent="0.35"/>
    <row r="1214" customFormat="1" ht="15" customHeight="1" x14ac:dyDescent="0.35"/>
    <row r="1215" customFormat="1" ht="15" customHeight="1" x14ac:dyDescent="0.35"/>
    <row r="1216" customFormat="1" ht="15" customHeight="1" x14ac:dyDescent="0.35"/>
    <row r="1217" customFormat="1" ht="15" customHeight="1" x14ac:dyDescent="0.35"/>
    <row r="1218" customFormat="1" ht="15" customHeight="1" x14ac:dyDescent="0.35"/>
    <row r="1219" customFormat="1" ht="15" customHeight="1" x14ac:dyDescent="0.35"/>
    <row r="1220" customFormat="1" ht="15" customHeight="1" x14ac:dyDescent="0.35"/>
    <row r="1221" customFormat="1" ht="15" customHeight="1" x14ac:dyDescent="0.35"/>
    <row r="1222" customFormat="1" ht="15" customHeight="1" x14ac:dyDescent="0.35"/>
    <row r="1223" customFormat="1" ht="15" customHeight="1" x14ac:dyDescent="0.35"/>
    <row r="1224" customFormat="1" ht="15" customHeight="1" x14ac:dyDescent="0.35"/>
    <row r="1225" customFormat="1" ht="15" customHeight="1" x14ac:dyDescent="0.35"/>
    <row r="1226" customFormat="1" ht="15" customHeight="1" x14ac:dyDescent="0.35"/>
    <row r="1227" customFormat="1" ht="15" customHeight="1" x14ac:dyDescent="0.35"/>
    <row r="1228" customFormat="1" ht="15" customHeight="1" x14ac:dyDescent="0.35"/>
    <row r="1229" customFormat="1" ht="15" customHeight="1" x14ac:dyDescent="0.35"/>
    <row r="1230" customFormat="1" ht="15" customHeight="1" x14ac:dyDescent="0.35"/>
    <row r="1231" customFormat="1" ht="15" customHeight="1" x14ac:dyDescent="0.35"/>
    <row r="1232" customFormat="1" ht="15" customHeight="1" x14ac:dyDescent="0.35"/>
    <row r="1233" customFormat="1" ht="15" customHeight="1" x14ac:dyDescent="0.35"/>
    <row r="1234" customFormat="1" ht="15" customHeight="1" x14ac:dyDescent="0.35"/>
    <row r="1235" customFormat="1" ht="15" customHeight="1" x14ac:dyDescent="0.35"/>
    <row r="1236" customFormat="1" ht="15" customHeight="1" x14ac:dyDescent="0.35"/>
    <row r="1237" customFormat="1" ht="15" customHeight="1" x14ac:dyDescent="0.35"/>
    <row r="1238" customFormat="1" ht="15" customHeight="1" x14ac:dyDescent="0.35"/>
    <row r="1239" customFormat="1" ht="15" customHeight="1" x14ac:dyDescent="0.35"/>
    <row r="1240" customFormat="1" ht="15" customHeight="1" x14ac:dyDescent="0.35"/>
    <row r="1241" customFormat="1" ht="15" customHeight="1" x14ac:dyDescent="0.35"/>
    <row r="1242" customFormat="1" ht="15" customHeight="1" x14ac:dyDescent="0.35"/>
    <row r="1243" customFormat="1" ht="15" customHeight="1" x14ac:dyDescent="0.35"/>
    <row r="1244" customFormat="1" ht="15" customHeight="1" x14ac:dyDescent="0.35"/>
    <row r="1245" customFormat="1" ht="15" customHeight="1" x14ac:dyDescent="0.35"/>
    <row r="1246" customFormat="1" ht="15" customHeight="1" x14ac:dyDescent="0.35"/>
    <row r="1247" customFormat="1" ht="15" customHeight="1" x14ac:dyDescent="0.35"/>
    <row r="1248" customFormat="1" ht="15" customHeight="1" x14ac:dyDescent="0.35"/>
    <row r="1249" customFormat="1" ht="15" customHeight="1" x14ac:dyDescent="0.35"/>
    <row r="1250" customFormat="1" ht="15" customHeight="1" x14ac:dyDescent="0.35"/>
    <row r="1251" customFormat="1" ht="15" customHeight="1" x14ac:dyDescent="0.35"/>
    <row r="1252" customFormat="1" ht="15" customHeight="1" x14ac:dyDescent="0.35"/>
    <row r="1253" customFormat="1" ht="15" customHeight="1" x14ac:dyDescent="0.35"/>
    <row r="1254" customFormat="1" ht="15" customHeight="1" x14ac:dyDescent="0.35"/>
    <row r="1255" customFormat="1" ht="15" customHeight="1" x14ac:dyDescent="0.35"/>
    <row r="1256" customFormat="1" ht="15" customHeight="1" x14ac:dyDescent="0.35"/>
    <row r="1257" customFormat="1" ht="15" customHeight="1" x14ac:dyDescent="0.35"/>
    <row r="1258" customFormat="1" ht="15" customHeight="1" x14ac:dyDescent="0.35"/>
    <row r="1259" customFormat="1" ht="15" customHeight="1" x14ac:dyDescent="0.35"/>
    <row r="1260" customFormat="1" ht="15" customHeight="1" x14ac:dyDescent="0.35"/>
    <row r="1261" customFormat="1" ht="15" customHeight="1" x14ac:dyDescent="0.35"/>
    <row r="1262" customFormat="1" ht="15" customHeight="1" x14ac:dyDescent="0.35"/>
    <row r="1263" customFormat="1" ht="15" customHeight="1" x14ac:dyDescent="0.35"/>
    <row r="1264" customFormat="1" ht="15" customHeight="1" x14ac:dyDescent="0.35"/>
    <row r="1265" customFormat="1" ht="15" customHeight="1" x14ac:dyDescent="0.35"/>
    <row r="1266" customFormat="1" ht="15" customHeight="1" x14ac:dyDescent="0.35"/>
    <row r="1267" customFormat="1" ht="15" customHeight="1" x14ac:dyDescent="0.35"/>
    <row r="1268" customFormat="1" ht="15" customHeight="1" x14ac:dyDescent="0.35"/>
    <row r="1269" customFormat="1" ht="15" customHeight="1" x14ac:dyDescent="0.35"/>
    <row r="1270" customFormat="1" ht="15" customHeight="1" x14ac:dyDescent="0.35"/>
    <row r="1271" customFormat="1" ht="15" customHeight="1" x14ac:dyDescent="0.35"/>
    <row r="1272" customFormat="1" ht="15" customHeight="1" x14ac:dyDescent="0.35"/>
    <row r="1273" customFormat="1" ht="15" customHeight="1" x14ac:dyDescent="0.35"/>
    <row r="1274" customFormat="1" ht="15" customHeight="1" x14ac:dyDescent="0.35"/>
    <row r="1275" customFormat="1" ht="15" customHeight="1" x14ac:dyDescent="0.35"/>
    <row r="1276" customFormat="1" ht="15" customHeight="1" x14ac:dyDescent="0.35"/>
    <row r="1277" customFormat="1" ht="15" customHeight="1" x14ac:dyDescent="0.35"/>
    <row r="1278" customFormat="1" ht="15" customHeight="1" x14ac:dyDescent="0.35"/>
    <row r="1279" customFormat="1" ht="15" customHeight="1" x14ac:dyDescent="0.35"/>
    <row r="1280" customFormat="1" ht="15" customHeight="1" x14ac:dyDescent="0.35"/>
    <row r="1281" customFormat="1" ht="15" customHeight="1" x14ac:dyDescent="0.35"/>
    <row r="1282" customFormat="1" ht="15" customHeight="1" x14ac:dyDescent="0.35"/>
    <row r="1283" customFormat="1" ht="15" customHeight="1" x14ac:dyDescent="0.35"/>
    <row r="1284" customFormat="1" ht="15" customHeight="1" x14ac:dyDescent="0.35"/>
    <row r="1285" customFormat="1" ht="15" customHeight="1" x14ac:dyDescent="0.35"/>
    <row r="1286" customFormat="1" ht="15" customHeight="1" x14ac:dyDescent="0.35"/>
    <row r="1287" customFormat="1" ht="15" customHeight="1" x14ac:dyDescent="0.35"/>
    <row r="1288" customFormat="1" ht="15" customHeight="1" x14ac:dyDescent="0.35"/>
    <row r="1289" customFormat="1" ht="15" customHeight="1" x14ac:dyDescent="0.35"/>
    <row r="1290" customFormat="1" ht="15" customHeight="1" x14ac:dyDescent="0.35"/>
    <row r="1291" customFormat="1" ht="15" customHeight="1" x14ac:dyDescent="0.35"/>
    <row r="1292" customFormat="1" ht="15" customHeight="1" x14ac:dyDescent="0.35"/>
    <row r="1293" customFormat="1" ht="15" customHeight="1" x14ac:dyDescent="0.35"/>
    <row r="1294" customFormat="1" ht="15" customHeight="1" x14ac:dyDescent="0.35"/>
    <row r="1295" customFormat="1" ht="15" customHeight="1" x14ac:dyDescent="0.35"/>
    <row r="1296" customFormat="1" ht="15" customHeight="1" x14ac:dyDescent="0.35"/>
    <row r="1297" customFormat="1" ht="15" customHeight="1" x14ac:dyDescent="0.35"/>
    <row r="1298" customFormat="1" ht="15" customHeight="1" x14ac:dyDescent="0.35"/>
    <row r="1299" customFormat="1" ht="15" customHeight="1" x14ac:dyDescent="0.35"/>
    <row r="1300" customFormat="1" ht="15" customHeight="1" x14ac:dyDescent="0.35"/>
    <row r="1301" customFormat="1" ht="15" customHeight="1" x14ac:dyDescent="0.35"/>
    <row r="1302" customFormat="1" ht="15" customHeight="1" x14ac:dyDescent="0.35"/>
    <row r="1303" customFormat="1" ht="15" customHeight="1" x14ac:dyDescent="0.35"/>
    <row r="1304" customFormat="1" ht="15" customHeight="1" x14ac:dyDescent="0.35"/>
    <row r="1305" customFormat="1" ht="15" customHeight="1" x14ac:dyDescent="0.35"/>
    <row r="1306" customFormat="1" ht="15" customHeight="1" x14ac:dyDescent="0.35"/>
    <row r="1307" customFormat="1" ht="15" customHeight="1" x14ac:dyDescent="0.35"/>
    <row r="1308" customFormat="1" ht="15" customHeight="1" x14ac:dyDescent="0.35"/>
    <row r="1309" customFormat="1" ht="15" customHeight="1" x14ac:dyDescent="0.35"/>
    <row r="1310" customFormat="1" ht="15" customHeight="1" x14ac:dyDescent="0.35"/>
    <row r="1311" customFormat="1" ht="15" customHeight="1" x14ac:dyDescent="0.35"/>
    <row r="1312" customFormat="1" ht="15" customHeight="1" x14ac:dyDescent="0.35"/>
    <row r="1313" customFormat="1" ht="15" customHeight="1" x14ac:dyDescent="0.35"/>
    <row r="1314" customFormat="1" ht="15" customHeight="1" x14ac:dyDescent="0.35"/>
    <row r="1315" customFormat="1" ht="15" customHeight="1" x14ac:dyDescent="0.35"/>
    <row r="1316" customFormat="1" ht="15" customHeight="1" x14ac:dyDescent="0.35"/>
    <row r="1317" customFormat="1" ht="15" customHeight="1" x14ac:dyDescent="0.35"/>
    <row r="1318" customFormat="1" ht="15" customHeight="1" x14ac:dyDescent="0.35"/>
    <row r="1319" customFormat="1" ht="15" customHeight="1" x14ac:dyDescent="0.35"/>
    <row r="1320" customFormat="1" ht="15" customHeight="1" x14ac:dyDescent="0.35"/>
    <row r="1321" customFormat="1" ht="15" customHeight="1" x14ac:dyDescent="0.35"/>
    <row r="1322" customFormat="1" ht="15" customHeight="1" x14ac:dyDescent="0.35"/>
    <row r="1323" customFormat="1" ht="15" customHeight="1" x14ac:dyDescent="0.35"/>
    <row r="1324" customFormat="1" ht="15" customHeight="1" x14ac:dyDescent="0.35"/>
    <row r="1325" customFormat="1" ht="15" customHeight="1" x14ac:dyDescent="0.35"/>
    <row r="1326" customFormat="1" ht="15" customHeight="1" x14ac:dyDescent="0.35"/>
    <row r="1327" customFormat="1" ht="15" customHeight="1" x14ac:dyDescent="0.35"/>
    <row r="1328" customFormat="1" ht="15" customHeight="1" x14ac:dyDescent="0.35"/>
    <row r="1329" customFormat="1" ht="15" customHeight="1" x14ac:dyDescent="0.35"/>
    <row r="1330" customFormat="1" ht="15" customHeight="1" x14ac:dyDescent="0.35"/>
    <row r="1331" customFormat="1" ht="15" customHeight="1" x14ac:dyDescent="0.35"/>
    <row r="1332" customFormat="1" ht="15" customHeight="1" x14ac:dyDescent="0.35"/>
    <row r="1333" customFormat="1" ht="15" customHeight="1" x14ac:dyDescent="0.35"/>
    <row r="1334" customFormat="1" ht="15" customHeight="1" x14ac:dyDescent="0.35"/>
    <row r="1335" customFormat="1" ht="15" customHeight="1" x14ac:dyDescent="0.35"/>
    <row r="1336" customFormat="1" ht="15" customHeight="1" x14ac:dyDescent="0.35"/>
    <row r="1337" customFormat="1" ht="15" customHeight="1" x14ac:dyDescent="0.35"/>
    <row r="1338" customFormat="1" ht="15" customHeight="1" x14ac:dyDescent="0.35"/>
    <row r="1339" customFormat="1" ht="15" customHeight="1" x14ac:dyDescent="0.35"/>
    <row r="1340" customFormat="1" ht="15" customHeight="1" x14ac:dyDescent="0.35"/>
    <row r="1341" customFormat="1" ht="15" customHeight="1" x14ac:dyDescent="0.35"/>
    <row r="1342" customFormat="1" ht="15" customHeight="1" x14ac:dyDescent="0.35"/>
    <row r="1343" customFormat="1" ht="15" customHeight="1" x14ac:dyDescent="0.35"/>
    <row r="1344" customFormat="1" ht="15" customHeight="1" x14ac:dyDescent="0.35"/>
    <row r="1345" customFormat="1" ht="15" customHeight="1" x14ac:dyDescent="0.35"/>
    <row r="1346" customFormat="1" ht="15" customHeight="1" x14ac:dyDescent="0.35"/>
    <row r="1347" customFormat="1" ht="15" customHeight="1" x14ac:dyDescent="0.35"/>
    <row r="1348" customFormat="1" ht="15" customHeight="1" x14ac:dyDescent="0.35"/>
    <row r="1349" customFormat="1" ht="15" customHeight="1" x14ac:dyDescent="0.35"/>
    <row r="1350" customFormat="1" ht="15" customHeight="1" x14ac:dyDescent="0.35"/>
    <row r="1351" customFormat="1" ht="15" customHeight="1" x14ac:dyDescent="0.35"/>
    <row r="1352" customFormat="1" ht="15" customHeight="1" x14ac:dyDescent="0.35"/>
    <row r="1353" customFormat="1" ht="15" customHeight="1" x14ac:dyDescent="0.35"/>
    <row r="1354" customFormat="1" ht="15" customHeight="1" x14ac:dyDescent="0.35"/>
    <row r="1355" customFormat="1" ht="15" customHeight="1" x14ac:dyDescent="0.35"/>
    <row r="1356" customFormat="1" ht="15" customHeight="1" x14ac:dyDescent="0.35"/>
    <row r="1357" customFormat="1" ht="15" customHeight="1" x14ac:dyDescent="0.35"/>
    <row r="1358" customFormat="1" ht="15" customHeight="1" x14ac:dyDescent="0.35"/>
    <row r="1359" customFormat="1" ht="15" customHeight="1" x14ac:dyDescent="0.35"/>
    <row r="1360" customFormat="1" ht="15" customHeight="1" x14ac:dyDescent="0.35"/>
    <row r="1361" customFormat="1" ht="15" customHeight="1" x14ac:dyDescent="0.35"/>
    <row r="1362" customFormat="1" ht="15" customHeight="1" x14ac:dyDescent="0.35"/>
    <row r="1363" customFormat="1" ht="15" customHeight="1" x14ac:dyDescent="0.35"/>
    <row r="1364" customFormat="1" ht="15" customHeight="1" x14ac:dyDescent="0.35"/>
    <row r="1365" customFormat="1" ht="15" customHeight="1" x14ac:dyDescent="0.35"/>
    <row r="1366" customFormat="1" ht="15" customHeight="1" x14ac:dyDescent="0.35"/>
    <row r="1367" customFormat="1" ht="15" customHeight="1" x14ac:dyDescent="0.35"/>
    <row r="1368" customFormat="1" ht="15" customHeight="1" x14ac:dyDescent="0.35"/>
    <row r="1369" customFormat="1" ht="15" customHeight="1" x14ac:dyDescent="0.35"/>
    <row r="1370" customFormat="1" ht="15" customHeight="1" x14ac:dyDescent="0.35"/>
    <row r="1371" customFormat="1" ht="15" customHeight="1" x14ac:dyDescent="0.35"/>
    <row r="1372" customFormat="1" ht="15" customHeight="1" x14ac:dyDescent="0.35"/>
    <row r="1373" customFormat="1" ht="15" customHeight="1" x14ac:dyDescent="0.35"/>
    <row r="1374" customFormat="1" ht="15" customHeight="1" x14ac:dyDescent="0.35"/>
    <row r="1375" customFormat="1" ht="15" customHeight="1" x14ac:dyDescent="0.35"/>
    <row r="1376" customFormat="1" ht="15" customHeight="1" x14ac:dyDescent="0.35"/>
    <row r="1377" customFormat="1" ht="15" customHeight="1" x14ac:dyDescent="0.35"/>
    <row r="1378" customFormat="1" ht="15" customHeight="1" x14ac:dyDescent="0.35"/>
    <row r="1379" customFormat="1" ht="15" customHeight="1" x14ac:dyDescent="0.35"/>
    <row r="1380" customFormat="1" ht="15" customHeight="1" x14ac:dyDescent="0.35"/>
    <row r="1381" customFormat="1" ht="15" customHeight="1" x14ac:dyDescent="0.35"/>
    <row r="1382" customFormat="1" ht="15" customHeight="1" x14ac:dyDescent="0.35"/>
    <row r="1383" customFormat="1" ht="15" customHeight="1" x14ac:dyDescent="0.35"/>
    <row r="1384" customFormat="1" ht="15" customHeight="1" x14ac:dyDescent="0.35"/>
    <row r="1385" customFormat="1" ht="15" customHeight="1" x14ac:dyDescent="0.35"/>
    <row r="1386" customFormat="1" ht="15" customHeight="1" x14ac:dyDescent="0.35"/>
    <row r="1387" customFormat="1" ht="15" customHeight="1" x14ac:dyDescent="0.35"/>
    <row r="1388" customFormat="1" ht="15" customHeight="1" x14ac:dyDescent="0.35"/>
    <row r="1389" customFormat="1" ht="15" customHeight="1" x14ac:dyDescent="0.35"/>
    <row r="1390" customFormat="1" ht="15" customHeight="1" x14ac:dyDescent="0.35"/>
    <row r="1391" customFormat="1" ht="15" customHeight="1" x14ac:dyDescent="0.35"/>
    <row r="1392" customFormat="1" ht="15" customHeight="1" x14ac:dyDescent="0.35"/>
    <row r="1393" customFormat="1" ht="15" customHeight="1" x14ac:dyDescent="0.35"/>
    <row r="1394" customFormat="1" ht="15" customHeight="1" x14ac:dyDescent="0.35"/>
    <row r="1395" customFormat="1" ht="15" customHeight="1" x14ac:dyDescent="0.35"/>
    <row r="1396" customFormat="1" ht="15" customHeight="1" x14ac:dyDescent="0.35"/>
    <row r="1397" customFormat="1" ht="15" customHeight="1" x14ac:dyDescent="0.35"/>
    <row r="1398" customFormat="1" ht="15" customHeight="1" x14ac:dyDescent="0.35"/>
    <row r="1399" customFormat="1" ht="15" customHeight="1" x14ac:dyDescent="0.35"/>
    <row r="1400" customFormat="1" ht="15" customHeight="1" x14ac:dyDescent="0.35"/>
  </sheetData>
  <mergeCells count="4">
    <mergeCell ref="B3:AF3"/>
    <mergeCell ref="A12:AG12"/>
    <mergeCell ref="A3:A4"/>
    <mergeCell ref="AG3:AG4"/>
  </mergeCells>
  <conditionalFormatting sqref="B6:AF10">
    <cfRule type="expression" priority="1" stopIfTrue="1">
      <formula>B6=""</formula>
    </cfRule>
    <cfRule type="expression" dxfId="840" priority="2" stopIfTrue="1">
      <formula>B6=KeyCustom2</formula>
    </cfRule>
    <cfRule type="expression" dxfId="839" priority="3" stopIfTrue="1">
      <formula>B6=KeyCustom1</formula>
    </cfRule>
    <cfRule type="expression" dxfId="838" priority="4" stopIfTrue="1">
      <formula>B6=KeySick</formula>
    </cfRule>
    <cfRule type="expression" dxfId="837" priority="5" stopIfTrue="1">
      <formula>B6=KeyPersonal</formula>
    </cfRule>
    <cfRule type="expression" dxfId="836" priority="6" stopIfTrue="1">
      <formula>B6=KeyVacation</formula>
    </cfRule>
  </conditionalFormatting>
  <conditionalFormatting sqref="AG6:AG10">
    <cfRule type="dataBar" priority="18">
      <dataBar>
        <cfvo type="min"/>
        <cfvo type="num" val="31"/>
        <color theme="9" tint="-0.749992370372631"/>
      </dataBar>
      <extLst>
        <ext xmlns:x14="http://schemas.microsoft.com/office/spreadsheetml/2009/9/main" uri="{B025F937-C7B1-47D3-B67F-A62EFF666E3E}">
          <x14:id>{ECCE2C3C-1B01-4700-B60E-DAAAB19A9C1A}</x14:id>
        </ext>
      </extLst>
    </cfRule>
  </conditionalFormatting>
  <printOptions horizontalCentered="1"/>
  <pageMargins left="0.25" right="0.25" top="0.75" bottom="0.75" header="0.3" footer="0.3"/>
  <pageSetup scale="67" fitToHeight="0"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CE2C3C-1B01-4700-B60E-DAAAB19A9C1A}">
            <x14:dataBar minLength="0" maxLength="100">
              <x14:cfvo type="autoMin"/>
              <x14:cfvo type="num">
                <xm:f>31</xm:f>
              </x14:cfvo>
              <x14:negativeFillColor rgb="FFFF0000"/>
              <x14:axisColor rgb="FF000000"/>
            </x14:dataBar>
          </x14:cfRule>
          <xm:sqref>AG6:AG10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46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TEXT(WEEKDAY(DATE(CalendarYear,2,1),1),"aaa")</f>
        <v>Sun</v>
      </c>
      <c r="C3" s="25" t="str">
        <f>TEXT(WEEKDAY(DATE(CalendarYear,2,2),1),"aaa")</f>
        <v>Mon</v>
      </c>
      <c r="D3" s="25" t="str">
        <f>TEXT(WEEKDAY(DATE(CalendarYear,2,3),1),"aaa")</f>
        <v>Tue</v>
      </c>
      <c r="E3" s="25" t="str">
        <f>TEXT(WEEKDAY(DATE(CalendarYear,2,4),1),"aaa")</f>
        <v>Wed</v>
      </c>
      <c r="F3" s="25" t="str">
        <f>TEXT(WEEKDAY(DATE(CalendarYear,2,5),1),"aaa")</f>
        <v>Thu</v>
      </c>
      <c r="G3" s="25" t="str">
        <f>TEXT(WEEKDAY(DATE(CalendarYear,2,6),1),"aaa")</f>
        <v>Fri</v>
      </c>
      <c r="H3" s="25" t="str">
        <f>TEXT(WEEKDAY(DATE(CalendarYear,2,7),1),"aaa")</f>
        <v>Sat</v>
      </c>
      <c r="I3" s="25" t="str">
        <f>TEXT(WEEKDAY(DATE(CalendarYear,2,8),1),"aaa")</f>
        <v>Sun</v>
      </c>
      <c r="J3" s="25" t="str">
        <f>TEXT(WEEKDAY(DATE(CalendarYear,2,9),1),"aaa")</f>
        <v>Mon</v>
      </c>
      <c r="K3" s="25" t="str">
        <f>TEXT(WEEKDAY(DATE(CalendarYear,2,10),1),"aaa")</f>
        <v>Tue</v>
      </c>
      <c r="L3" s="25" t="str">
        <f>TEXT(WEEKDAY(DATE(CalendarYear,2,11),1),"aaa")</f>
        <v>Wed</v>
      </c>
      <c r="M3" s="25" t="str">
        <f>TEXT(WEEKDAY(DATE(CalendarYear,2,12),1),"aaa")</f>
        <v>Thu</v>
      </c>
      <c r="N3" s="25" t="str">
        <f>TEXT(WEEKDAY(DATE(CalendarYear,2,13),1),"aaa")</f>
        <v>Fri</v>
      </c>
      <c r="O3" s="25" t="str">
        <f>TEXT(WEEKDAY(DATE(CalendarYear,2,14),1),"aaa")</f>
        <v>Sat</v>
      </c>
      <c r="P3" s="25" t="str">
        <f>TEXT(WEEKDAY(DATE(CalendarYear,2,15),1),"aaa")</f>
        <v>Sun</v>
      </c>
      <c r="Q3" s="25" t="str">
        <f>TEXT(WEEKDAY(DATE(CalendarYear,2,16),1),"aaa")</f>
        <v>Mon</v>
      </c>
      <c r="R3" s="25" t="str">
        <f>TEXT(WEEKDAY(DATE(CalendarYear,2,17),1),"aaa")</f>
        <v>Tue</v>
      </c>
      <c r="S3" s="25" t="str">
        <f>TEXT(WEEKDAY(DATE(CalendarYear,2,18),1),"aaa")</f>
        <v>Wed</v>
      </c>
      <c r="T3" s="25" t="str">
        <f>TEXT(WEEKDAY(DATE(CalendarYear,2,19),1),"aaa")</f>
        <v>Thu</v>
      </c>
      <c r="U3" s="25" t="str">
        <f>TEXT(WEEKDAY(DATE(CalendarYear,2,20),1),"aaa")</f>
        <v>Fri</v>
      </c>
      <c r="V3" s="25" t="str">
        <f>TEXT(WEEKDAY(DATE(CalendarYear,2,21),1),"aaa")</f>
        <v>Sat</v>
      </c>
      <c r="W3" s="25" t="str">
        <f>TEXT(WEEKDAY(DATE(CalendarYear,2,22),1),"aaa")</f>
        <v>Sun</v>
      </c>
      <c r="X3" s="25" t="str">
        <f>TEXT(WEEKDAY(DATE(CalendarYear,2,23),1),"aaa")</f>
        <v>Mon</v>
      </c>
      <c r="Y3" s="25" t="str">
        <f>TEXT(WEEKDAY(DATE(CalendarYear,2,24),1),"aaa")</f>
        <v>Tue</v>
      </c>
      <c r="Z3" s="25" t="str">
        <f>TEXT(WEEKDAY(DATE(CalendarYear,2,25),1),"aaa")</f>
        <v>Wed</v>
      </c>
      <c r="AA3" s="25" t="str">
        <f>TEXT(WEEKDAY(DATE(CalendarYear,2,26),1),"aaa")</f>
        <v>Thu</v>
      </c>
      <c r="AB3" s="25" t="str">
        <f>TEXT(WEEKDAY(DATE(CalendarYear,2,27),1),"aaa")</f>
        <v>Fri</v>
      </c>
      <c r="AC3" s="25" t="str">
        <f>TEXT(WEEKDAY(DATE(CalendarYear,2,28),1),"aaa")</f>
        <v>Sat</v>
      </c>
      <c r="AD3" s="25" t="str">
        <f>TEXT(WEEKDAY(DATE(CalendarYear,2,29),1),"aaa")</f>
        <v>Sun</v>
      </c>
      <c r="AE3" s="25"/>
      <c r="AF3" s="26"/>
      <c r="AG3" s="52"/>
    </row>
    <row r="4" spans="1:34" s="1" customFormat="1" ht="14.5" x14ac:dyDescent="0.35">
      <c r="A4" s="38" t="s">
        <v>1</v>
      </c>
      <c r="B4" s="43" t="s">
        <v>2</v>
      </c>
      <c r="C4" s="43" t="s">
        <v>3</v>
      </c>
      <c r="D4" s="43" t="s">
        <v>4</v>
      </c>
      <c r="E4" s="43" t="s">
        <v>5</v>
      </c>
      <c r="F4" s="43" t="s">
        <v>6</v>
      </c>
      <c r="G4" s="43" t="s">
        <v>7</v>
      </c>
      <c r="H4" s="43" t="s">
        <v>8</v>
      </c>
      <c r="I4" s="43" t="s">
        <v>9</v>
      </c>
      <c r="J4" s="43" t="s">
        <v>10</v>
      </c>
      <c r="K4" s="43" t="s">
        <v>11</v>
      </c>
      <c r="L4" s="43" t="s">
        <v>12</v>
      </c>
      <c r="M4" s="43" t="s">
        <v>13</v>
      </c>
      <c r="N4" s="43" t="s">
        <v>14</v>
      </c>
      <c r="O4" s="43" t="s">
        <v>15</v>
      </c>
      <c r="P4" s="43" t="s">
        <v>16</v>
      </c>
      <c r="Q4" s="43" t="s">
        <v>17</v>
      </c>
      <c r="R4" s="43" t="s">
        <v>18</v>
      </c>
      <c r="S4" s="43" t="s">
        <v>19</v>
      </c>
      <c r="T4" s="43" t="s">
        <v>20</v>
      </c>
      <c r="U4" s="43" t="s">
        <v>21</v>
      </c>
      <c r="V4" s="43" t="s">
        <v>22</v>
      </c>
      <c r="W4" s="43" t="s">
        <v>23</v>
      </c>
      <c r="X4" s="43" t="s">
        <v>24</v>
      </c>
      <c r="Y4" s="43" t="s">
        <v>25</v>
      </c>
      <c r="Z4" s="43" t="s">
        <v>26</v>
      </c>
      <c r="AA4" s="43" t="s">
        <v>27</v>
      </c>
      <c r="AB4" s="43" t="s">
        <v>28</v>
      </c>
      <c r="AC4" s="43" t="s">
        <v>29</v>
      </c>
      <c r="AD4" s="43" t="s">
        <v>30</v>
      </c>
      <c r="AE4" s="43" t="s">
        <v>38</v>
      </c>
      <c r="AF4" s="43" t="s">
        <v>39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 t="s">
        <v>36</v>
      </c>
      <c r="E5" s="7" t="s">
        <v>36</v>
      </c>
      <c r="F5" s="7" t="s">
        <v>36</v>
      </c>
      <c r="G5" s="7" t="s">
        <v>36</v>
      </c>
      <c r="H5" s="7"/>
      <c r="I5" s="7"/>
      <c r="J5" s="7"/>
      <c r="K5" s="7"/>
      <c r="L5" s="7"/>
      <c r="M5" s="7"/>
      <c r="N5" s="7" t="s">
        <v>36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COUNTA(tblFebruary[[#This Row],[1]:[29]])</f>
        <v>5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 t="s">
        <v>35</v>
      </c>
      <c r="G6" s="7" t="s">
        <v>35</v>
      </c>
      <c r="H6" s="7"/>
      <c r="I6" s="7"/>
      <c r="J6" s="7"/>
      <c r="K6" s="7"/>
      <c r="L6" s="7" t="s">
        <v>40</v>
      </c>
      <c r="M6" s="7"/>
      <c r="N6" s="7"/>
      <c r="O6" s="7"/>
      <c r="P6" s="7"/>
      <c r="Q6" s="7"/>
      <c r="R6" s="7"/>
      <c r="S6" s="7"/>
      <c r="T6" s="7"/>
      <c r="U6" s="7" t="s">
        <v>35</v>
      </c>
      <c r="V6" s="7"/>
      <c r="W6" s="7"/>
      <c r="X6" s="7"/>
      <c r="Y6" s="7"/>
      <c r="Z6" s="7" t="s">
        <v>36</v>
      </c>
      <c r="AA6" s="7" t="s">
        <v>36</v>
      </c>
      <c r="AB6" s="7" t="s">
        <v>36</v>
      </c>
      <c r="AC6" s="7"/>
      <c r="AD6" s="7"/>
      <c r="AE6" s="7"/>
      <c r="AF6" s="7"/>
      <c r="AG6" s="11">
        <f>COUNTA(tblFebruary[[#This Row],[1]:[29]])</f>
        <v>7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COUNTA(tblFebruary[[#This Row],[1]:[29]])</f>
        <v>0</v>
      </c>
    </row>
    <row r="8" spans="1:34" ht="15" customHeight="1" x14ac:dyDescent="0.25">
      <c r="A8" s="36" t="s">
        <v>48</v>
      </c>
      <c r="B8" s="7"/>
      <c r="C8" s="7"/>
      <c r="D8" s="7" t="s">
        <v>35</v>
      </c>
      <c r="E8" s="7"/>
      <c r="F8" s="7"/>
      <c r="G8" s="7"/>
      <c r="H8" s="7"/>
      <c r="I8" s="7"/>
      <c r="J8" s="7"/>
      <c r="K8" s="7"/>
      <c r="L8" s="7"/>
      <c r="M8" s="7"/>
      <c r="N8" s="7"/>
      <c r="O8" s="7" t="s">
        <v>35</v>
      </c>
      <c r="P8" s="7"/>
      <c r="Q8" s="7"/>
      <c r="R8" s="7"/>
      <c r="S8" s="7" t="s">
        <v>40</v>
      </c>
      <c r="T8" s="7"/>
      <c r="U8" s="7"/>
      <c r="V8" s="7"/>
      <c r="W8" s="7"/>
      <c r="X8" s="7"/>
      <c r="Y8" s="7"/>
      <c r="Z8" s="7"/>
      <c r="AA8" s="7"/>
      <c r="AB8" s="7"/>
      <c r="AC8" s="7" t="s">
        <v>35</v>
      </c>
      <c r="AD8" s="7"/>
      <c r="AE8" s="7"/>
      <c r="AF8" s="7"/>
      <c r="AG8" s="11">
        <f>COUNTA(tblFebruary[[#This Row],[1]:[29]])</f>
        <v>4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 t="s">
        <v>36</v>
      </c>
      <c r="J9" s="7" t="s">
        <v>36</v>
      </c>
      <c r="K9" s="7" t="s">
        <v>36</v>
      </c>
      <c r="L9" s="7" t="s">
        <v>36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 t="s">
        <v>35</v>
      </c>
      <c r="Z9" s="7"/>
      <c r="AA9" s="7"/>
      <c r="AB9" s="7"/>
      <c r="AC9" s="7"/>
      <c r="AD9" s="7"/>
      <c r="AE9" s="7"/>
      <c r="AF9" s="7"/>
      <c r="AG9" s="11">
        <f>COUNTA(tblFebruary[[#This Row],[1]:[29]])</f>
        <v>5</v>
      </c>
    </row>
    <row r="10" spans="1:34" ht="15" customHeight="1" x14ac:dyDescent="0.25">
      <c r="A10" s="38" t="str">
        <f>MonthName&amp;" Total"</f>
        <v>February Total</v>
      </c>
      <c r="B10" s="43">
        <f>SUBTOTAL(103,tblFebruary[1])</f>
        <v>0</v>
      </c>
      <c r="C10" s="43">
        <f>SUBTOTAL(103,tblFebruary[2])</f>
        <v>0</v>
      </c>
      <c r="D10" s="43">
        <f>SUBTOTAL(103,tblFebruary[3])</f>
        <v>2</v>
      </c>
      <c r="E10" s="43">
        <f>SUBTOTAL(103,tblFebruary[4])</f>
        <v>1</v>
      </c>
      <c r="F10" s="43">
        <f>SUBTOTAL(103,tblFebruary[5])</f>
        <v>2</v>
      </c>
      <c r="G10" s="43">
        <f>SUBTOTAL(103,tblFebruary[6])</f>
        <v>2</v>
      </c>
      <c r="H10" s="43">
        <f>SUBTOTAL(103,tblFebruary[7])</f>
        <v>0</v>
      </c>
      <c r="I10" s="43">
        <f>SUBTOTAL(103,tblFebruary[8])</f>
        <v>1</v>
      </c>
      <c r="J10" s="43">
        <f>SUBTOTAL(103,tblFebruary[9])</f>
        <v>1</v>
      </c>
      <c r="K10" s="43">
        <f>SUBTOTAL(103,tblFebruary[10])</f>
        <v>1</v>
      </c>
      <c r="L10" s="43">
        <f>SUBTOTAL(103,tblFebruary[11])</f>
        <v>2</v>
      </c>
      <c r="M10" s="43">
        <f>SUBTOTAL(103,tblFebruary[12])</f>
        <v>0</v>
      </c>
      <c r="N10" s="43">
        <f>SUBTOTAL(103,tblFebruary[13])</f>
        <v>1</v>
      </c>
      <c r="O10" s="43">
        <f>SUBTOTAL(103,tblFebruary[14])</f>
        <v>1</v>
      </c>
      <c r="P10" s="43">
        <f>SUBTOTAL(103,tblFebruary[15])</f>
        <v>0</v>
      </c>
      <c r="Q10" s="43">
        <f>SUBTOTAL(103,tblFebruary[16])</f>
        <v>0</v>
      </c>
      <c r="R10" s="43">
        <f>SUBTOTAL(103,tblFebruary[17])</f>
        <v>0</v>
      </c>
      <c r="S10" s="43">
        <f>SUBTOTAL(103,tblFebruary[18])</f>
        <v>1</v>
      </c>
      <c r="T10" s="43">
        <f>SUBTOTAL(103,tblFebruary[19])</f>
        <v>0</v>
      </c>
      <c r="U10" s="43">
        <f>SUBTOTAL(103,tblFebruary[20])</f>
        <v>1</v>
      </c>
      <c r="V10" s="43">
        <f>SUBTOTAL(103,tblFebruary[21])</f>
        <v>0</v>
      </c>
      <c r="W10" s="43">
        <f>SUBTOTAL(103,tblFebruary[22])</f>
        <v>0</v>
      </c>
      <c r="X10" s="43">
        <f>SUBTOTAL(103,tblFebruary[23])</f>
        <v>0</v>
      </c>
      <c r="Y10" s="43">
        <f>SUBTOTAL(103,tblFebruary[24])</f>
        <v>1</v>
      </c>
      <c r="Z10" s="43">
        <f>SUBTOTAL(103,tblFebruary[25])</f>
        <v>1</v>
      </c>
      <c r="AA10" s="43">
        <f>SUBTOTAL(103,tblFebruary[26])</f>
        <v>1</v>
      </c>
      <c r="AB10" s="43">
        <f>SUBTOTAL(103,tblFebruary[27])</f>
        <v>1</v>
      </c>
      <c r="AC10" s="43">
        <f>SUBTOTAL(103,tblFebruary[28])</f>
        <v>1</v>
      </c>
      <c r="AD10" s="43">
        <f>SUBTOTAL(103,tblFebruary[29])</f>
        <v>0</v>
      </c>
      <c r="AE10" s="43"/>
      <c r="AF10" s="43"/>
      <c r="AG10" s="11">
        <f>SUBTOTAL(109,tblFebruary[Total Days])</f>
        <v>21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B2:AF2"/>
    <mergeCell ref="A11:AG11"/>
    <mergeCell ref="A2:A3"/>
    <mergeCell ref="AG2:AG3"/>
  </mergeCells>
  <conditionalFormatting sqref="B5:AF9">
    <cfRule type="expression" priority="1" stopIfTrue="1">
      <formula>B5=""</formula>
    </cfRule>
    <cfRule type="expression" dxfId="835" priority="2" stopIfTrue="1">
      <formula>B5=KeyCustom2</formula>
    </cfRule>
    <cfRule type="expression" dxfId="834" priority="3" stopIfTrue="1">
      <formula>B5=KeyCustom1</formula>
    </cfRule>
    <cfRule type="expression" dxfId="833" priority="4" stopIfTrue="1">
      <formula>B5=KeySick</formula>
    </cfRule>
    <cfRule type="expression" dxfId="832" priority="5" stopIfTrue="1">
      <formula>B5=KeyPersonal</formula>
    </cfRule>
    <cfRule type="expression" dxfId="831" priority="6" stopIfTrue="1">
      <formula>B5=KeyVacation</formula>
    </cfRule>
  </conditionalFormatting>
  <conditionalFormatting sqref="AD3">
    <cfRule type="expression" dxfId="830" priority="13">
      <formula>MONTH(DATE(CalendarYear,2,29))&lt;&gt;2</formula>
    </cfRule>
  </conditionalFormatting>
  <conditionalFormatting sqref="AG5:AG9">
    <cfRule type="dataBar" priority="19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{94738C71-AB78-40C3-A818-D083AE35CC38}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738C71-AB78-40C3-A818-D083AE35CC38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50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TEXT(WEEKDAY(DATE(CalendarYear,3,1),1),"aaa")</f>
        <v>Sun</v>
      </c>
      <c r="C3" s="25" t="str">
        <f>TEXT(WEEKDAY(DATE(CalendarYear,3,2),1),"aaa")</f>
        <v>Mon</v>
      </c>
      <c r="D3" s="25" t="str">
        <f>TEXT(WEEKDAY(DATE(CalendarYear,3,3),1),"aaa")</f>
        <v>Tue</v>
      </c>
      <c r="E3" s="25" t="str">
        <f>TEXT(WEEKDAY(DATE(CalendarYear,3,4),1),"aaa")</f>
        <v>Wed</v>
      </c>
      <c r="F3" s="25" t="str">
        <f>TEXT(WEEKDAY(DATE(CalendarYear,3,5),1),"aaa")</f>
        <v>Thu</v>
      </c>
      <c r="G3" s="25" t="str">
        <f>TEXT(WEEKDAY(DATE(CalendarYear,3,6),1),"aaa")</f>
        <v>Fri</v>
      </c>
      <c r="H3" s="25" t="str">
        <f>TEXT(WEEKDAY(DATE(CalendarYear,3,7),1),"aaa")</f>
        <v>Sat</v>
      </c>
      <c r="I3" s="25" t="str">
        <f>TEXT(WEEKDAY(DATE(CalendarYear,3,8),1),"aaa")</f>
        <v>Sun</v>
      </c>
      <c r="J3" s="25" t="str">
        <f>TEXT(WEEKDAY(DATE(CalendarYear,3,9),1),"aaa")</f>
        <v>Mon</v>
      </c>
      <c r="K3" s="25" t="str">
        <f>TEXT(WEEKDAY(DATE(CalendarYear,3,10),1),"aaa")</f>
        <v>Tue</v>
      </c>
      <c r="L3" s="25" t="str">
        <f>TEXT(WEEKDAY(DATE(CalendarYear,3,11),1),"aaa")</f>
        <v>Wed</v>
      </c>
      <c r="M3" s="25" t="str">
        <f>TEXT(WEEKDAY(DATE(CalendarYear,3,12),1),"aaa")</f>
        <v>Thu</v>
      </c>
      <c r="N3" s="25" t="str">
        <f>TEXT(WEEKDAY(DATE(CalendarYear,3,13),1),"aaa")</f>
        <v>Fri</v>
      </c>
      <c r="O3" s="25" t="str">
        <f>TEXT(WEEKDAY(DATE(CalendarYear,3,14),1),"aaa")</f>
        <v>Sat</v>
      </c>
      <c r="P3" s="25" t="str">
        <f>TEXT(WEEKDAY(DATE(CalendarYear,3,15),1),"aaa")</f>
        <v>Sun</v>
      </c>
      <c r="Q3" s="25" t="str">
        <f>TEXT(WEEKDAY(DATE(CalendarYear,3,16),1),"aaa")</f>
        <v>Mon</v>
      </c>
      <c r="R3" s="25" t="str">
        <f>TEXT(WEEKDAY(DATE(CalendarYear,3,17),1),"aaa")</f>
        <v>Tue</v>
      </c>
      <c r="S3" s="25" t="str">
        <f>TEXT(WEEKDAY(DATE(CalendarYear,3,18),1),"aaa")</f>
        <v>Wed</v>
      </c>
      <c r="T3" s="25" t="str">
        <f>TEXT(WEEKDAY(DATE(CalendarYear,3,19),1),"aaa")</f>
        <v>Thu</v>
      </c>
      <c r="U3" s="25" t="str">
        <f>TEXT(WEEKDAY(DATE(CalendarYear,3,20),1),"aaa")</f>
        <v>Fri</v>
      </c>
      <c r="V3" s="25" t="str">
        <f>TEXT(WEEKDAY(DATE(CalendarYear,3,21),1),"aaa")</f>
        <v>Sat</v>
      </c>
      <c r="W3" s="25" t="str">
        <f>TEXT(WEEKDAY(DATE(CalendarYear,3,22),1),"aaa")</f>
        <v>Sun</v>
      </c>
      <c r="X3" s="25" t="str">
        <f>TEXT(WEEKDAY(DATE(CalendarYear,3,23),1),"aaa")</f>
        <v>Mon</v>
      </c>
      <c r="Y3" s="25" t="str">
        <f>TEXT(WEEKDAY(DATE(CalendarYear,3,24),1),"aaa")</f>
        <v>Tue</v>
      </c>
      <c r="Z3" s="25" t="str">
        <f>TEXT(WEEKDAY(DATE(CalendarYear,3,25),1),"aaa")</f>
        <v>Wed</v>
      </c>
      <c r="AA3" s="25" t="str">
        <f>TEXT(WEEKDAY(DATE(CalendarYear,3,26),1),"aaa")</f>
        <v>Thu</v>
      </c>
      <c r="AB3" s="25" t="str">
        <f>TEXT(WEEKDAY(DATE(CalendarYear,3,27),1),"aaa")</f>
        <v>Fri</v>
      </c>
      <c r="AC3" s="25" t="str">
        <f>TEXT(WEEKDAY(DATE(CalendarYear,3,28),1),"aaa")</f>
        <v>Sat</v>
      </c>
      <c r="AD3" s="25" t="str">
        <f>TEXT(WEEKDAY(DATE(CalendarYear,3,29),1),"aaa")</f>
        <v>Sun</v>
      </c>
      <c r="AE3" s="25" t="str">
        <f>TEXT(WEEKDAY(DATE(CalendarYear,3,30),1),"aaa")</f>
        <v>Mon</v>
      </c>
      <c r="AF3" s="25" t="str">
        <f>TEXT(WEEKDAY(DATE(CalendarYear,3,31),1),"aaa")</f>
        <v>Tue</v>
      </c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32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COUNTA(tblMarch[[#This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COUNTA(tblMarch[[#This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COUNTA(tblMarch[[#This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COUNTA(tblMarch[[#This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COUNTA(tblMarch[[#This Row],[1]:[29]])</f>
        <v>0</v>
      </c>
    </row>
    <row r="10" spans="1:34" ht="15" customHeight="1" x14ac:dyDescent="0.25">
      <c r="A10" s="46" t="str">
        <f>MonthName&amp;" Total"</f>
        <v>March Total</v>
      </c>
      <c r="B10" s="37">
        <f>SUBTOTAL(103,tblMarch[1])</f>
        <v>0</v>
      </c>
      <c r="C10" s="37">
        <f>SUBTOTAL(103,tblMarch[2])</f>
        <v>0</v>
      </c>
      <c r="D10" s="37">
        <f>SUBTOTAL(103,tblMarch[3])</f>
        <v>0</v>
      </c>
      <c r="E10" s="37">
        <f>SUBTOTAL(103,tblMarch[4])</f>
        <v>0</v>
      </c>
      <c r="F10" s="37">
        <f>SUBTOTAL(103,tblMarch[5])</f>
        <v>0</v>
      </c>
      <c r="G10" s="37">
        <f>SUBTOTAL(103,tblMarch[6])</f>
        <v>0</v>
      </c>
      <c r="H10" s="37">
        <f>SUBTOTAL(103,tblMarch[7])</f>
        <v>0</v>
      </c>
      <c r="I10" s="37">
        <f>SUBTOTAL(103,tblMarch[8])</f>
        <v>0</v>
      </c>
      <c r="J10" s="37">
        <f>SUBTOTAL(103,tblMarch[9])</f>
        <v>0</v>
      </c>
      <c r="K10" s="37">
        <f>SUBTOTAL(103,tblMarch[10])</f>
        <v>0</v>
      </c>
      <c r="L10" s="37">
        <f>SUBTOTAL(103,tblMarch[11])</f>
        <v>0</v>
      </c>
      <c r="M10" s="37">
        <f>SUBTOTAL(103,tblMarch[12])</f>
        <v>0</v>
      </c>
      <c r="N10" s="37">
        <f>SUBTOTAL(103,tblMarch[13])</f>
        <v>0</v>
      </c>
      <c r="O10" s="37">
        <f>SUBTOTAL(103,tblMarch[14])</f>
        <v>0</v>
      </c>
      <c r="P10" s="37">
        <f>SUBTOTAL(103,tblMarch[15])</f>
        <v>0</v>
      </c>
      <c r="Q10" s="37">
        <f>SUBTOTAL(103,tblMarch[16])</f>
        <v>0</v>
      </c>
      <c r="R10" s="37">
        <f>SUBTOTAL(103,tblMarch[17])</f>
        <v>0</v>
      </c>
      <c r="S10" s="37">
        <f>SUBTOTAL(103,tblMarch[18])</f>
        <v>0</v>
      </c>
      <c r="T10" s="37">
        <f>SUBTOTAL(103,tblMarch[19])</f>
        <v>0</v>
      </c>
      <c r="U10" s="37">
        <f>SUBTOTAL(103,tblMarch[20])</f>
        <v>0</v>
      </c>
      <c r="V10" s="37">
        <f>SUBTOTAL(103,tblMarch[21])</f>
        <v>0</v>
      </c>
      <c r="W10" s="37">
        <f>SUBTOTAL(103,tblMarch[22])</f>
        <v>0</v>
      </c>
      <c r="X10" s="37">
        <f>SUBTOTAL(103,tblMarch[23])</f>
        <v>0</v>
      </c>
      <c r="Y10" s="37">
        <f>SUBTOTAL(103,tblMarch[24])</f>
        <v>0</v>
      </c>
      <c r="Z10" s="37">
        <f>SUBTOTAL(103,tblMarch[25])</f>
        <v>0</v>
      </c>
      <c r="AA10" s="37">
        <f>SUBTOTAL(103,tblMarch[26])</f>
        <v>0</v>
      </c>
      <c r="AB10" s="37">
        <f>SUBTOTAL(103,tblMarch[27])</f>
        <v>0</v>
      </c>
      <c r="AC10" s="37">
        <f>SUBTOTAL(103,tblMarch[28])</f>
        <v>0</v>
      </c>
      <c r="AD10" s="37">
        <f>SUBTOTAL(103,tblMarch[29])</f>
        <v>0</v>
      </c>
      <c r="AE10" s="37"/>
      <c r="AF10" s="37"/>
      <c r="AG10" s="11">
        <f>SUBTOTAL(109,tblMarch[Total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764" priority="2" stopIfTrue="1">
      <formula>B5=KeyCustom2</formula>
    </cfRule>
    <cfRule type="expression" dxfId="763" priority="3" stopIfTrue="1">
      <formula>B5=KeyCustom1</formula>
    </cfRule>
    <cfRule type="expression" dxfId="762" priority="4" stopIfTrue="1">
      <formula>B5=KeySick</formula>
    </cfRule>
    <cfRule type="expression" dxfId="761" priority="5" stopIfTrue="1">
      <formula>B5=KeyPersonal</formula>
    </cfRule>
    <cfRule type="expression" dxfId="760" priority="6" stopIfTrue="1">
      <formula>B5=KeyVacation</formula>
    </cfRule>
  </conditionalFormatting>
  <conditionalFormatting sqref="AG5:AG9">
    <cfRule type="dataBar" priority="21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{6E72CF57-6FDE-4024-BC4C-B2350417DE61}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72CF57-6FDE-4024-BC4C-B2350417DE61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51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TEXT(WEEKDAY(DATE(CalendarYear,4,1),1),"aaa")</f>
        <v>Wed</v>
      </c>
      <c r="C3" s="25" t="str">
        <f>TEXT(WEEKDAY(DATE(CalendarYear,4,2),1),"aaa")</f>
        <v>Thu</v>
      </c>
      <c r="D3" s="25" t="str">
        <f>TEXT(WEEKDAY(DATE(CalendarYear,4,3),1),"aaa")</f>
        <v>Fri</v>
      </c>
      <c r="E3" s="25" t="str">
        <f>TEXT(WEEKDAY(DATE(CalendarYear,4,4),1),"aaa")</f>
        <v>Sat</v>
      </c>
      <c r="F3" s="25" t="str">
        <f>TEXT(WEEKDAY(DATE(CalendarYear,4,5),1),"aaa")</f>
        <v>Sun</v>
      </c>
      <c r="G3" s="25" t="str">
        <f>TEXT(WEEKDAY(DATE(CalendarYear,4,6),1),"aaa")</f>
        <v>Mon</v>
      </c>
      <c r="H3" s="25" t="str">
        <f>TEXT(WEEKDAY(DATE(CalendarYear,4,7),1),"aaa")</f>
        <v>Tue</v>
      </c>
      <c r="I3" s="25" t="str">
        <f>TEXT(WEEKDAY(DATE(CalendarYear,4,8),1),"aaa")</f>
        <v>Wed</v>
      </c>
      <c r="J3" s="25" t="str">
        <f>TEXT(WEEKDAY(DATE(CalendarYear,4,9),1),"aaa")</f>
        <v>Thu</v>
      </c>
      <c r="K3" s="25" t="str">
        <f>TEXT(WEEKDAY(DATE(CalendarYear,4,10),1),"aaa")</f>
        <v>Fri</v>
      </c>
      <c r="L3" s="25" t="str">
        <f>TEXT(WEEKDAY(DATE(CalendarYear,4,11),1),"aaa")</f>
        <v>Sat</v>
      </c>
      <c r="M3" s="25" t="str">
        <f>TEXT(WEEKDAY(DATE(CalendarYear,4,12),1),"aaa")</f>
        <v>Sun</v>
      </c>
      <c r="N3" s="25" t="str">
        <f>TEXT(WEEKDAY(DATE(CalendarYear,4,13),1),"aaa")</f>
        <v>Mon</v>
      </c>
      <c r="O3" s="25" t="str">
        <f>TEXT(WEEKDAY(DATE(CalendarYear,4,14),1),"aaa")</f>
        <v>Tue</v>
      </c>
      <c r="P3" s="25" t="str">
        <f>TEXT(WEEKDAY(DATE(CalendarYear,4,15),1),"aaa")</f>
        <v>Wed</v>
      </c>
      <c r="Q3" s="25" t="str">
        <f>TEXT(WEEKDAY(DATE(CalendarYear,4,16),1),"aaa")</f>
        <v>Thu</v>
      </c>
      <c r="R3" s="25" t="str">
        <f>TEXT(WEEKDAY(DATE(CalendarYear,4,17),1),"aaa")</f>
        <v>Fri</v>
      </c>
      <c r="S3" s="25" t="str">
        <f>TEXT(WEEKDAY(DATE(CalendarYear,4,18),1),"aaa")</f>
        <v>Sat</v>
      </c>
      <c r="T3" s="25" t="str">
        <f>TEXT(WEEKDAY(DATE(CalendarYear,4,19),1),"aaa")</f>
        <v>Sun</v>
      </c>
      <c r="U3" s="25" t="str">
        <f>TEXT(WEEKDAY(DATE(CalendarYear,4,20),1),"aaa")</f>
        <v>Mon</v>
      </c>
      <c r="V3" s="25" t="str">
        <f>TEXT(WEEKDAY(DATE(CalendarYear,4,21),1),"aaa")</f>
        <v>Tue</v>
      </c>
      <c r="W3" s="25" t="str">
        <f>TEXT(WEEKDAY(DATE(CalendarYear,4,22),1),"aaa")</f>
        <v>Wed</v>
      </c>
      <c r="X3" s="25" t="str">
        <f>TEXT(WEEKDAY(DATE(CalendarYear,4,23),1),"aaa")</f>
        <v>Thu</v>
      </c>
      <c r="Y3" s="25" t="str">
        <f>TEXT(WEEKDAY(DATE(CalendarYear,4,24),1),"aaa")</f>
        <v>Fri</v>
      </c>
      <c r="Z3" s="25" t="str">
        <f>TEXT(WEEKDAY(DATE(CalendarYear,4,25),1),"aaa")</f>
        <v>Sat</v>
      </c>
      <c r="AA3" s="25" t="str">
        <f>TEXT(WEEKDAY(DATE(CalendarYear,4,26),1),"aaa")</f>
        <v>Sun</v>
      </c>
      <c r="AB3" s="25" t="str">
        <f>TEXT(WEEKDAY(DATE(CalendarYear,4,27),1),"aaa")</f>
        <v>Mon</v>
      </c>
      <c r="AC3" s="25" t="str">
        <f>TEXT(WEEKDAY(DATE(CalendarYear,4,28),1),"aaa")</f>
        <v>Tue</v>
      </c>
      <c r="AD3" s="25" t="str">
        <f>TEXT(WEEKDAY(DATE(CalendarYear,4,29),1),"aaa")</f>
        <v>Wed</v>
      </c>
      <c r="AE3" s="25" t="str">
        <f>TEXT(WEEKDAY(DATE(CalendarYear,4,30),1),"aaa")</f>
        <v>Thu</v>
      </c>
      <c r="AF3" s="25"/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38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COUNTA(tblApril[[#This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COUNTA(tblApril[[#This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COUNTA(tblApril[[#This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COUNTA(tblApril[[#This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COUNTA(tblApril[[#This Row],[1]:[29]])</f>
        <v>0</v>
      </c>
    </row>
    <row r="10" spans="1:34" ht="15" customHeight="1" x14ac:dyDescent="0.25">
      <c r="A10" s="46" t="str">
        <f>MonthName&amp;" Total"</f>
        <v>April Total</v>
      </c>
      <c r="B10" s="47">
        <f>SUBTOTAL(103,tblApril[1])</f>
        <v>0</v>
      </c>
      <c r="C10" s="47">
        <f>SUBTOTAL(103,tblApril[2])</f>
        <v>0</v>
      </c>
      <c r="D10" s="47">
        <f>SUBTOTAL(103,tblApril[3])</f>
        <v>0</v>
      </c>
      <c r="E10" s="47">
        <f>SUBTOTAL(103,tblApril[4])</f>
        <v>0</v>
      </c>
      <c r="F10" s="47">
        <f>SUBTOTAL(103,tblApril[5])</f>
        <v>0</v>
      </c>
      <c r="G10" s="47">
        <f>SUBTOTAL(103,tblApril[6])</f>
        <v>0</v>
      </c>
      <c r="H10" s="47">
        <f>SUBTOTAL(103,tblApril[7])</f>
        <v>0</v>
      </c>
      <c r="I10" s="47">
        <f>SUBTOTAL(103,tblApril[8])</f>
        <v>0</v>
      </c>
      <c r="J10" s="47">
        <f>SUBTOTAL(103,tblApril[9])</f>
        <v>0</v>
      </c>
      <c r="K10" s="47">
        <f>SUBTOTAL(103,tblApril[10])</f>
        <v>0</v>
      </c>
      <c r="L10" s="47">
        <f>SUBTOTAL(103,tblApril[11])</f>
        <v>0</v>
      </c>
      <c r="M10" s="47">
        <f>SUBTOTAL(103,tblApril[12])</f>
        <v>0</v>
      </c>
      <c r="N10" s="47">
        <f>SUBTOTAL(103,tblApril[13])</f>
        <v>0</v>
      </c>
      <c r="O10" s="47">
        <f>SUBTOTAL(103,tblApril[14])</f>
        <v>0</v>
      </c>
      <c r="P10" s="47">
        <f>SUBTOTAL(103,tblApril[15])</f>
        <v>0</v>
      </c>
      <c r="Q10" s="47">
        <f>SUBTOTAL(103,tblApril[16])</f>
        <v>0</v>
      </c>
      <c r="R10" s="47">
        <f>SUBTOTAL(103,tblApril[17])</f>
        <v>0</v>
      </c>
      <c r="S10" s="47">
        <f>SUBTOTAL(103,tblApril[18])</f>
        <v>0</v>
      </c>
      <c r="T10" s="47">
        <f>SUBTOTAL(103,tblApril[19])</f>
        <v>0</v>
      </c>
      <c r="U10" s="47">
        <f>SUBTOTAL(103,tblApril[20])</f>
        <v>0</v>
      </c>
      <c r="V10" s="47">
        <f>SUBTOTAL(103,tblApril[21])</f>
        <v>0</v>
      </c>
      <c r="W10" s="47">
        <f>SUBTOTAL(103,tblApril[22])</f>
        <v>0</v>
      </c>
      <c r="X10" s="47">
        <f>SUBTOTAL(103,tblApril[23])</f>
        <v>0</v>
      </c>
      <c r="Y10" s="47">
        <f>SUBTOTAL(103,tblApril[24])</f>
        <v>0</v>
      </c>
      <c r="Z10" s="47">
        <f>SUBTOTAL(103,tblApril[25])</f>
        <v>0</v>
      </c>
      <c r="AA10" s="47">
        <f>SUBTOTAL(103,tblApril[26])</f>
        <v>0</v>
      </c>
      <c r="AB10" s="47">
        <f>SUBTOTAL(103,tblApril[27])</f>
        <v>0</v>
      </c>
      <c r="AC10" s="47">
        <f>SUBTOTAL(103,tblApril[28])</f>
        <v>0</v>
      </c>
      <c r="AD10" s="47">
        <f>SUBTOTAL(103,tblApril[29])</f>
        <v>0</v>
      </c>
      <c r="AE10" s="47"/>
      <c r="AF10" s="47"/>
      <c r="AG10" s="11">
        <f>SUBTOTAL(109,tblApril[Total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694" priority="2" stopIfTrue="1">
      <formula>B5=KeyCustom2</formula>
    </cfRule>
    <cfRule type="expression" dxfId="693" priority="3" stopIfTrue="1">
      <formula>B5=KeyCustom1</formula>
    </cfRule>
    <cfRule type="expression" dxfId="692" priority="4" stopIfTrue="1">
      <formula>B5=KeySick</formula>
    </cfRule>
    <cfRule type="expression" dxfId="691" priority="5" stopIfTrue="1">
      <formula>B5=KeyPersonal</formula>
    </cfRule>
    <cfRule type="expression" dxfId="690" priority="6" stopIfTrue="1">
      <formula>B5=KeyVacation</formula>
    </cfRule>
  </conditionalFormatting>
  <conditionalFormatting sqref="AG5:AG9">
    <cfRule type="dataBar" priority="22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{9F84199F-9F40-4560-9610-01EAA5EACF75}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84199F-9F40-4560-9610-01EAA5EACF75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52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TEXT(WEEKDAY(DATE(CalendarYear,5,1),1),"aaa")</f>
        <v>Fri</v>
      </c>
      <c r="C3" s="25" t="str">
        <f>TEXT(WEEKDAY(DATE(CalendarYear,5,2),1),"aaa")</f>
        <v>Sat</v>
      </c>
      <c r="D3" s="25" t="str">
        <f>TEXT(WEEKDAY(DATE(CalendarYear,5,3),1),"aaa")</f>
        <v>Sun</v>
      </c>
      <c r="E3" s="25" t="str">
        <f>TEXT(WEEKDAY(DATE(CalendarYear,5,4),1),"aaa")</f>
        <v>Mon</v>
      </c>
      <c r="F3" s="25" t="str">
        <f>TEXT(WEEKDAY(DATE(CalendarYear,5,5),1),"aaa")</f>
        <v>Tue</v>
      </c>
      <c r="G3" s="25" t="str">
        <f>TEXT(WEEKDAY(DATE(CalendarYear,5,6),1),"aaa")</f>
        <v>Wed</v>
      </c>
      <c r="H3" s="25" t="str">
        <f>TEXT(WEEKDAY(DATE(CalendarYear,5,7),1),"aaa")</f>
        <v>Thu</v>
      </c>
      <c r="I3" s="25" t="str">
        <f>TEXT(WEEKDAY(DATE(CalendarYear,5,8),1),"aaa")</f>
        <v>Fri</v>
      </c>
      <c r="J3" s="25" t="str">
        <f>TEXT(WEEKDAY(DATE(CalendarYear,5,9),1),"aaa")</f>
        <v>Sat</v>
      </c>
      <c r="K3" s="25" t="str">
        <f>TEXT(WEEKDAY(DATE(CalendarYear,5,10),1),"aaa")</f>
        <v>Sun</v>
      </c>
      <c r="L3" s="25" t="str">
        <f>TEXT(WEEKDAY(DATE(CalendarYear,5,11),1),"aaa")</f>
        <v>Mon</v>
      </c>
      <c r="M3" s="25" t="str">
        <f>TEXT(WEEKDAY(DATE(CalendarYear,5,12),1),"aaa")</f>
        <v>Tue</v>
      </c>
      <c r="N3" s="25" t="str">
        <f>TEXT(WEEKDAY(DATE(CalendarYear,5,13),1),"aaa")</f>
        <v>Wed</v>
      </c>
      <c r="O3" s="25" t="str">
        <f>TEXT(WEEKDAY(DATE(CalendarYear,5,14),1),"aaa")</f>
        <v>Thu</v>
      </c>
      <c r="P3" s="25" t="str">
        <f>TEXT(WEEKDAY(DATE(CalendarYear,5,15),1),"aaa")</f>
        <v>Fri</v>
      </c>
      <c r="Q3" s="25" t="str">
        <f>TEXT(WEEKDAY(DATE(CalendarYear,5,16),1),"aaa")</f>
        <v>Sat</v>
      </c>
      <c r="R3" s="25" t="str">
        <f>TEXT(WEEKDAY(DATE(CalendarYear,5,17),1),"aaa")</f>
        <v>Sun</v>
      </c>
      <c r="S3" s="25" t="str">
        <f>TEXT(WEEKDAY(DATE(CalendarYear,5,18),1),"aaa")</f>
        <v>Mon</v>
      </c>
      <c r="T3" s="25" t="str">
        <f>TEXT(WEEKDAY(DATE(CalendarYear,5,19),1),"aaa")</f>
        <v>Tue</v>
      </c>
      <c r="U3" s="25" t="str">
        <f>TEXT(WEEKDAY(DATE(CalendarYear,5,20),1),"aaa")</f>
        <v>Wed</v>
      </c>
      <c r="V3" s="25" t="str">
        <f>TEXT(WEEKDAY(DATE(CalendarYear,5,21),1),"aaa")</f>
        <v>Thu</v>
      </c>
      <c r="W3" s="25" t="str">
        <f>TEXT(WEEKDAY(DATE(CalendarYear,5,22),1),"aaa")</f>
        <v>Fri</v>
      </c>
      <c r="X3" s="25" t="str">
        <f>TEXT(WEEKDAY(DATE(CalendarYear,5,23),1),"aaa")</f>
        <v>Sat</v>
      </c>
      <c r="Y3" s="25" t="str">
        <f>TEXT(WEEKDAY(DATE(CalendarYear,5,24),1),"aaa")</f>
        <v>Sun</v>
      </c>
      <c r="Z3" s="25" t="str">
        <f>TEXT(WEEKDAY(DATE(CalendarYear,5,25),1),"aaa")</f>
        <v>Mon</v>
      </c>
      <c r="AA3" s="25" t="str">
        <f>TEXT(WEEKDAY(DATE(CalendarYear,5,26),1),"aaa")</f>
        <v>Tue</v>
      </c>
      <c r="AB3" s="25" t="str">
        <f>TEXT(WEEKDAY(DATE(CalendarYear,5,27),1),"aaa")</f>
        <v>Wed</v>
      </c>
      <c r="AC3" s="25" t="str">
        <f>TEXT(WEEKDAY(DATE(CalendarYear,5,28),1),"aaa")</f>
        <v>Thu</v>
      </c>
      <c r="AD3" s="25" t="str">
        <f>TEXT(WEEKDAY(DATE(CalendarYear,5,29),1),"aaa")</f>
        <v>Fri</v>
      </c>
      <c r="AE3" s="25" t="str">
        <f>TEXT(WEEKDAY(DATE(CalendarYear,5,30),1),"aaa")</f>
        <v>Sat</v>
      </c>
      <c r="AF3" s="25" t="str">
        <f>TEXT(WEEKDAY(DATE(CalendarYear,5,31),1),"aaa")</f>
        <v>Sun</v>
      </c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32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COUNTA(tblMay[[#This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COUNTA(tblMay[[#This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COUNTA(tblMay[[#This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COUNTA(tblMay[[#This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COUNTA(tblMay[[#This Row],[1]:[29]])</f>
        <v>0</v>
      </c>
    </row>
    <row r="10" spans="1:34" ht="15" customHeight="1" x14ac:dyDescent="0.25">
      <c r="A10" s="46" t="str">
        <f>MonthName&amp;" Total"</f>
        <v>May Total</v>
      </c>
      <c r="B10" s="48">
        <f>SUBTOTAL(103,tblMay[1])</f>
        <v>0</v>
      </c>
      <c r="C10" s="48">
        <f>SUBTOTAL(103,tblMay[2])</f>
        <v>0</v>
      </c>
      <c r="D10" s="48">
        <f>SUBTOTAL(103,tblMay[3])</f>
        <v>0</v>
      </c>
      <c r="E10" s="48">
        <f>SUBTOTAL(103,tblMay[4])</f>
        <v>0</v>
      </c>
      <c r="F10" s="48">
        <f>SUBTOTAL(103,tblMay[5])</f>
        <v>0</v>
      </c>
      <c r="G10" s="48">
        <f>SUBTOTAL(103,tblMay[6])</f>
        <v>0</v>
      </c>
      <c r="H10" s="48">
        <f>SUBTOTAL(103,tblMay[7])</f>
        <v>0</v>
      </c>
      <c r="I10" s="48">
        <f>SUBTOTAL(103,tblMay[8])</f>
        <v>0</v>
      </c>
      <c r="J10" s="48">
        <f>SUBTOTAL(103,tblMay[9])</f>
        <v>0</v>
      </c>
      <c r="K10" s="48">
        <f>SUBTOTAL(103,tblMay[10])</f>
        <v>0</v>
      </c>
      <c r="L10" s="48">
        <f>SUBTOTAL(103,tblMay[11])</f>
        <v>0</v>
      </c>
      <c r="M10" s="48">
        <f>SUBTOTAL(103,tblMay[12])</f>
        <v>0</v>
      </c>
      <c r="N10" s="48">
        <f>SUBTOTAL(103,tblMay[13])</f>
        <v>0</v>
      </c>
      <c r="O10" s="48">
        <f>SUBTOTAL(103,tblMay[14])</f>
        <v>0</v>
      </c>
      <c r="P10" s="48">
        <f>SUBTOTAL(103,tblMay[15])</f>
        <v>0</v>
      </c>
      <c r="Q10" s="48">
        <f>SUBTOTAL(103,tblMay[16])</f>
        <v>0</v>
      </c>
      <c r="R10" s="48">
        <f>SUBTOTAL(103,tblMay[17])</f>
        <v>0</v>
      </c>
      <c r="S10" s="48">
        <f>SUBTOTAL(103,tblMay[18])</f>
        <v>0</v>
      </c>
      <c r="T10" s="48">
        <f>SUBTOTAL(103,tblMay[19])</f>
        <v>0</v>
      </c>
      <c r="U10" s="48">
        <f>SUBTOTAL(103,tblMay[20])</f>
        <v>0</v>
      </c>
      <c r="V10" s="48">
        <f>SUBTOTAL(103,tblMay[21])</f>
        <v>0</v>
      </c>
      <c r="W10" s="48">
        <f>SUBTOTAL(103,tblMay[22])</f>
        <v>0</v>
      </c>
      <c r="X10" s="48">
        <f>SUBTOTAL(103,tblMay[23])</f>
        <v>0</v>
      </c>
      <c r="Y10" s="48">
        <f>SUBTOTAL(103,tblMay[24])</f>
        <v>0</v>
      </c>
      <c r="Z10" s="48">
        <f>SUBTOTAL(103,tblMay[25])</f>
        <v>0</v>
      </c>
      <c r="AA10" s="48">
        <f>SUBTOTAL(103,tblMay[26])</f>
        <v>0</v>
      </c>
      <c r="AB10" s="48">
        <f>SUBTOTAL(103,tblMay[27])</f>
        <v>0</v>
      </c>
      <c r="AC10" s="48">
        <f>SUBTOTAL(103,tblMay[28])</f>
        <v>0</v>
      </c>
      <c r="AD10" s="48">
        <f>SUBTOTAL(103,tblMay[29])</f>
        <v>0</v>
      </c>
      <c r="AE10" s="48"/>
      <c r="AF10" s="48"/>
      <c r="AG10" s="11">
        <f>SUBTOTAL(109,tblMay[Total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624" priority="2" stopIfTrue="1">
      <formula>B5=KeyCustom2</formula>
    </cfRule>
    <cfRule type="expression" dxfId="623" priority="3" stopIfTrue="1">
      <formula>B5=KeyCustom1</formula>
    </cfRule>
    <cfRule type="expression" dxfId="622" priority="4" stopIfTrue="1">
      <formula>B5=KeySick</formula>
    </cfRule>
    <cfRule type="expression" dxfId="621" priority="5" stopIfTrue="1">
      <formula>B5=KeyPersonal</formula>
    </cfRule>
    <cfRule type="expression" dxfId="620" priority="6" stopIfTrue="1">
      <formula>B5=KeyVacation</formula>
    </cfRule>
  </conditionalFormatting>
  <conditionalFormatting sqref="AG5:AG9">
    <cfRule type="dataBar" priority="23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{21200745-4ED2-4331-A492-FDEB5AAF3195}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200745-4ED2-4331-A492-FDEB5AAF3195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53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TEXT(WEEKDAY(DATE(CalendarYear,6,1),1),"aaa")</f>
        <v>Mon</v>
      </c>
      <c r="C3" s="25" t="str">
        <f>TEXT(WEEKDAY(DATE(CalendarYear,6,2),1),"aaa")</f>
        <v>Tue</v>
      </c>
      <c r="D3" s="25" t="str">
        <f>TEXT(WEEKDAY(DATE(CalendarYear,6,3),1),"aaa")</f>
        <v>Wed</v>
      </c>
      <c r="E3" s="25" t="str">
        <f>TEXT(WEEKDAY(DATE(CalendarYear,6,4),1),"aaa")</f>
        <v>Thu</v>
      </c>
      <c r="F3" s="25" t="str">
        <f>TEXT(WEEKDAY(DATE(CalendarYear,6,5),1),"aaa")</f>
        <v>Fri</v>
      </c>
      <c r="G3" s="25" t="str">
        <f>TEXT(WEEKDAY(DATE(CalendarYear,6,6),1),"aaa")</f>
        <v>Sat</v>
      </c>
      <c r="H3" s="25" t="str">
        <f>TEXT(WEEKDAY(DATE(CalendarYear,6,7),1),"aaa")</f>
        <v>Sun</v>
      </c>
      <c r="I3" s="25" t="str">
        <f>TEXT(WEEKDAY(DATE(CalendarYear,6,8),1),"aaa")</f>
        <v>Mon</v>
      </c>
      <c r="J3" s="25" t="str">
        <f>TEXT(WEEKDAY(DATE(CalendarYear,6,9),1),"aaa")</f>
        <v>Tue</v>
      </c>
      <c r="K3" s="25" t="str">
        <f>TEXT(WEEKDAY(DATE(CalendarYear,6,10),1),"aaa")</f>
        <v>Wed</v>
      </c>
      <c r="L3" s="25" t="str">
        <f>TEXT(WEEKDAY(DATE(CalendarYear,6,11),1),"aaa")</f>
        <v>Thu</v>
      </c>
      <c r="M3" s="25" t="str">
        <f>TEXT(WEEKDAY(DATE(CalendarYear,6,12),1),"aaa")</f>
        <v>Fri</v>
      </c>
      <c r="N3" s="25" t="str">
        <f>TEXT(WEEKDAY(DATE(CalendarYear,6,13),1),"aaa")</f>
        <v>Sat</v>
      </c>
      <c r="O3" s="25" t="str">
        <f>TEXT(WEEKDAY(DATE(CalendarYear,6,14),1),"aaa")</f>
        <v>Sun</v>
      </c>
      <c r="P3" s="25" t="str">
        <f>TEXT(WEEKDAY(DATE(CalendarYear,6,15),1),"aaa")</f>
        <v>Mon</v>
      </c>
      <c r="Q3" s="25" t="str">
        <f>TEXT(WEEKDAY(DATE(CalendarYear,6,16),1),"aaa")</f>
        <v>Tue</v>
      </c>
      <c r="R3" s="25" t="str">
        <f>TEXT(WEEKDAY(DATE(CalendarYear,6,17),1),"aaa")</f>
        <v>Wed</v>
      </c>
      <c r="S3" s="25" t="str">
        <f>TEXT(WEEKDAY(DATE(CalendarYear,6,18),1),"aaa")</f>
        <v>Thu</v>
      </c>
      <c r="T3" s="25" t="str">
        <f>TEXT(WEEKDAY(DATE(CalendarYear,6,19),1),"aaa")</f>
        <v>Fri</v>
      </c>
      <c r="U3" s="25" t="str">
        <f>TEXT(WEEKDAY(DATE(CalendarYear,6,20),1),"aaa")</f>
        <v>Sat</v>
      </c>
      <c r="V3" s="25" t="str">
        <f>TEXT(WEEKDAY(DATE(CalendarYear,6,21),1),"aaa")</f>
        <v>Sun</v>
      </c>
      <c r="W3" s="25" t="str">
        <f>TEXT(WEEKDAY(DATE(CalendarYear,6,22),1),"aaa")</f>
        <v>Mon</v>
      </c>
      <c r="X3" s="25" t="str">
        <f>TEXT(WEEKDAY(DATE(CalendarYear,6,23),1),"aaa")</f>
        <v>Tue</v>
      </c>
      <c r="Y3" s="25" t="str">
        <f>TEXT(WEEKDAY(DATE(CalendarYear,6,24),1),"aaa")</f>
        <v>Wed</v>
      </c>
      <c r="Z3" s="25" t="str">
        <f>TEXT(WEEKDAY(DATE(CalendarYear,6,25),1),"aaa")</f>
        <v>Thu</v>
      </c>
      <c r="AA3" s="25" t="str">
        <f>TEXT(WEEKDAY(DATE(CalendarYear,6,26),1),"aaa")</f>
        <v>Fri</v>
      </c>
      <c r="AB3" s="25" t="str">
        <f>TEXT(WEEKDAY(DATE(CalendarYear,6,27),1),"aaa")</f>
        <v>Sat</v>
      </c>
      <c r="AC3" s="25" t="str">
        <f>TEXT(WEEKDAY(DATE(CalendarYear,6,28),1),"aaa")</f>
        <v>Sun</v>
      </c>
      <c r="AD3" s="25" t="str">
        <f>TEXT(WEEKDAY(DATE(CalendarYear,6,29),1),"aaa")</f>
        <v>Mon</v>
      </c>
      <c r="AE3" s="25" t="str">
        <f>TEXT(WEEKDAY(DATE(CalendarYear,6,30),1),"aaa")</f>
        <v>Tue</v>
      </c>
      <c r="AF3" s="25"/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38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COUNTA(tblJune[[#This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COUNTA(tblJune[[#This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COUNTA(tblJune[[#This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COUNTA(tblJune[[#This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COUNTA(tblJune[[#This Row],[1]:[29]])</f>
        <v>0</v>
      </c>
    </row>
    <row r="10" spans="1:34" ht="15" customHeight="1" x14ac:dyDescent="0.25">
      <c r="A10" s="46" t="str">
        <f>MonthName&amp;" Total"</f>
        <v>June Total</v>
      </c>
      <c r="B10" s="48">
        <f>SUBTOTAL(103,tblJune[1])</f>
        <v>0</v>
      </c>
      <c r="C10" s="48">
        <f>SUBTOTAL(103,tblJune[2])</f>
        <v>0</v>
      </c>
      <c r="D10" s="48">
        <f>SUBTOTAL(103,tblJune[3])</f>
        <v>0</v>
      </c>
      <c r="E10" s="48">
        <f>SUBTOTAL(103,tblJune[4])</f>
        <v>0</v>
      </c>
      <c r="F10" s="48">
        <f>SUBTOTAL(103,tblJune[5])</f>
        <v>0</v>
      </c>
      <c r="G10" s="48">
        <f>SUBTOTAL(103,tblJune[6])</f>
        <v>0</v>
      </c>
      <c r="H10" s="48">
        <f>SUBTOTAL(103,tblJune[7])</f>
        <v>0</v>
      </c>
      <c r="I10" s="48">
        <f>SUBTOTAL(103,tblJune[8])</f>
        <v>0</v>
      </c>
      <c r="J10" s="48">
        <f>SUBTOTAL(103,tblJune[9])</f>
        <v>0</v>
      </c>
      <c r="K10" s="48">
        <f>SUBTOTAL(103,tblJune[10])</f>
        <v>0</v>
      </c>
      <c r="L10" s="48">
        <f>SUBTOTAL(103,tblJune[11])</f>
        <v>0</v>
      </c>
      <c r="M10" s="48">
        <f>SUBTOTAL(103,tblJune[12])</f>
        <v>0</v>
      </c>
      <c r="N10" s="48">
        <f>SUBTOTAL(103,tblJune[13])</f>
        <v>0</v>
      </c>
      <c r="O10" s="48">
        <f>SUBTOTAL(103,tblJune[14])</f>
        <v>0</v>
      </c>
      <c r="P10" s="48">
        <f>SUBTOTAL(103,tblJune[15])</f>
        <v>0</v>
      </c>
      <c r="Q10" s="48">
        <f>SUBTOTAL(103,tblJune[16])</f>
        <v>0</v>
      </c>
      <c r="R10" s="48">
        <f>SUBTOTAL(103,tblJune[17])</f>
        <v>0</v>
      </c>
      <c r="S10" s="48">
        <f>SUBTOTAL(103,tblJune[18])</f>
        <v>0</v>
      </c>
      <c r="T10" s="48">
        <f>SUBTOTAL(103,tblJune[19])</f>
        <v>0</v>
      </c>
      <c r="U10" s="48">
        <f>SUBTOTAL(103,tblJune[20])</f>
        <v>0</v>
      </c>
      <c r="V10" s="48">
        <f>SUBTOTAL(103,tblJune[21])</f>
        <v>0</v>
      </c>
      <c r="W10" s="48">
        <f>SUBTOTAL(103,tblJune[22])</f>
        <v>0</v>
      </c>
      <c r="X10" s="48">
        <f>SUBTOTAL(103,tblJune[23])</f>
        <v>0</v>
      </c>
      <c r="Y10" s="48">
        <f>SUBTOTAL(103,tblJune[24])</f>
        <v>0</v>
      </c>
      <c r="Z10" s="48">
        <f>SUBTOTAL(103,tblJune[25])</f>
        <v>0</v>
      </c>
      <c r="AA10" s="48">
        <f>SUBTOTAL(103,tblJune[26])</f>
        <v>0</v>
      </c>
      <c r="AB10" s="48">
        <f>SUBTOTAL(103,tblJune[27])</f>
        <v>0</v>
      </c>
      <c r="AC10" s="48">
        <f>SUBTOTAL(103,tblJune[28])</f>
        <v>0</v>
      </c>
      <c r="AD10" s="48">
        <f>SUBTOTAL(103,tblJune[29])</f>
        <v>0</v>
      </c>
      <c r="AE10" s="48"/>
      <c r="AF10" s="48"/>
      <c r="AG10" s="11">
        <f>SUBTOTAL(109,tblJune[Total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554" priority="2" stopIfTrue="1">
      <formula>B5=KeyCustom2</formula>
    </cfRule>
    <cfRule type="expression" dxfId="553" priority="3" stopIfTrue="1">
      <formula>B5=KeyCustom1</formula>
    </cfRule>
    <cfRule type="expression" dxfId="552" priority="4" stopIfTrue="1">
      <formula>B5=KeySick</formula>
    </cfRule>
    <cfRule type="expression" dxfId="551" priority="5" stopIfTrue="1">
      <formula>B5=KeyPersonal</formula>
    </cfRule>
    <cfRule type="expression" dxfId="550" priority="6" stopIfTrue="1">
      <formula>B5=KeyVacation</formula>
    </cfRule>
  </conditionalFormatting>
  <conditionalFormatting sqref="AG5:AG9">
    <cfRule type="dataBar" priority="24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{FA2C5745-D9F6-46CB-8A63-694F9E52E516}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2C5745-D9F6-46CB-8A63-694F9E52E516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54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TEXT(WEEKDAY(DATE(CalendarYear,7,1),1),"aaa")</f>
        <v>Wed</v>
      </c>
      <c r="C3" s="25" t="str">
        <f>TEXT(WEEKDAY(DATE(CalendarYear,7,2),1),"aaa")</f>
        <v>Thu</v>
      </c>
      <c r="D3" s="25" t="str">
        <f>TEXT(WEEKDAY(DATE(CalendarYear,7,3),1),"aaa")</f>
        <v>Fri</v>
      </c>
      <c r="E3" s="25" t="str">
        <f>TEXT(WEEKDAY(DATE(CalendarYear,7,4),1),"aaa")</f>
        <v>Sat</v>
      </c>
      <c r="F3" s="25" t="str">
        <f>TEXT(WEEKDAY(DATE(CalendarYear,7,5),1),"aaa")</f>
        <v>Sun</v>
      </c>
      <c r="G3" s="25" t="str">
        <f>TEXT(WEEKDAY(DATE(CalendarYear,7,6),1),"aaa")</f>
        <v>Mon</v>
      </c>
      <c r="H3" s="25" t="str">
        <f>TEXT(WEEKDAY(DATE(CalendarYear,7,7),1),"aaa")</f>
        <v>Tue</v>
      </c>
      <c r="I3" s="25" t="str">
        <f>TEXT(WEEKDAY(DATE(CalendarYear,7,8),1),"aaa")</f>
        <v>Wed</v>
      </c>
      <c r="J3" s="25" t="str">
        <f>TEXT(WEEKDAY(DATE(CalendarYear,7,9),1),"aaa")</f>
        <v>Thu</v>
      </c>
      <c r="K3" s="25" t="str">
        <f>TEXT(WEEKDAY(DATE(CalendarYear,7,10),1),"aaa")</f>
        <v>Fri</v>
      </c>
      <c r="L3" s="25" t="str">
        <f>TEXT(WEEKDAY(DATE(CalendarYear,7,11),1),"aaa")</f>
        <v>Sat</v>
      </c>
      <c r="M3" s="25" t="str">
        <f>TEXT(WEEKDAY(DATE(CalendarYear,7,12),1),"aaa")</f>
        <v>Sun</v>
      </c>
      <c r="N3" s="25" t="str">
        <f>TEXT(WEEKDAY(DATE(CalendarYear,7,13),1),"aaa")</f>
        <v>Mon</v>
      </c>
      <c r="O3" s="25" t="str">
        <f>TEXT(WEEKDAY(DATE(CalendarYear,7,14),1),"aaa")</f>
        <v>Tue</v>
      </c>
      <c r="P3" s="25" t="str">
        <f>TEXT(WEEKDAY(DATE(CalendarYear,7,15),1),"aaa")</f>
        <v>Wed</v>
      </c>
      <c r="Q3" s="25" t="str">
        <f>TEXT(WEEKDAY(DATE(CalendarYear,7,16),1),"aaa")</f>
        <v>Thu</v>
      </c>
      <c r="R3" s="25" t="str">
        <f>TEXT(WEEKDAY(DATE(CalendarYear,7,17),1),"aaa")</f>
        <v>Fri</v>
      </c>
      <c r="S3" s="25" t="str">
        <f>TEXT(WEEKDAY(DATE(CalendarYear,7,18),1),"aaa")</f>
        <v>Sat</v>
      </c>
      <c r="T3" s="25" t="str">
        <f>TEXT(WEEKDAY(DATE(CalendarYear,7,19),1),"aaa")</f>
        <v>Sun</v>
      </c>
      <c r="U3" s="25" t="str">
        <f>TEXT(WEEKDAY(DATE(CalendarYear,7,20),1),"aaa")</f>
        <v>Mon</v>
      </c>
      <c r="V3" s="25" t="str">
        <f>TEXT(WEEKDAY(DATE(CalendarYear,7,21),1),"aaa")</f>
        <v>Tue</v>
      </c>
      <c r="W3" s="25" t="str">
        <f>TEXT(WEEKDAY(DATE(CalendarYear,7,22),1),"aaa")</f>
        <v>Wed</v>
      </c>
      <c r="X3" s="25" t="str">
        <f>TEXT(WEEKDAY(DATE(CalendarYear,7,23),1),"aaa")</f>
        <v>Thu</v>
      </c>
      <c r="Y3" s="25" t="str">
        <f>TEXT(WEEKDAY(DATE(CalendarYear,7,24),1),"aaa")</f>
        <v>Fri</v>
      </c>
      <c r="Z3" s="25" t="str">
        <f>TEXT(WEEKDAY(DATE(CalendarYear,7,25),1),"aaa")</f>
        <v>Sat</v>
      </c>
      <c r="AA3" s="25" t="str">
        <f>TEXT(WEEKDAY(DATE(CalendarYear,7,26),1),"aaa")</f>
        <v>Sun</v>
      </c>
      <c r="AB3" s="25" t="str">
        <f>TEXT(WEEKDAY(DATE(CalendarYear,7,27),1),"aaa")</f>
        <v>Mon</v>
      </c>
      <c r="AC3" s="25" t="str">
        <f>TEXT(WEEKDAY(DATE(CalendarYear,7,28),1),"aaa")</f>
        <v>Tue</v>
      </c>
      <c r="AD3" s="25" t="str">
        <f>TEXT(WEEKDAY(DATE(CalendarYear,7,29),1),"aaa")</f>
        <v>Wed</v>
      </c>
      <c r="AE3" s="25" t="str">
        <f>TEXT(WEEKDAY(DATE(CalendarYear,7,30),1),"aaa")</f>
        <v>Thu</v>
      </c>
      <c r="AF3" s="25" t="str">
        <f>TEXT(WEEKDAY(DATE(CalendarYear,7,31),1),"aaa")</f>
        <v>Fri</v>
      </c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32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COUNTA(tblJuly[[#This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COUNTA(tblJuly[[#This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COUNTA(tblJuly[[#This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COUNTA(tblJuly[[#This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COUNTA(tblJuly[[#This Row],[1]:[29]])</f>
        <v>0</v>
      </c>
    </row>
    <row r="10" spans="1:34" ht="15" customHeight="1" x14ac:dyDescent="0.25">
      <c r="A10" s="46" t="str">
        <f>MonthName&amp;" Total"</f>
        <v>July Total</v>
      </c>
      <c r="B10" s="48">
        <f>SUBTOTAL(103,tblJuly[1])</f>
        <v>0</v>
      </c>
      <c r="C10" s="48">
        <f>SUBTOTAL(103,tblJuly[2])</f>
        <v>0</v>
      </c>
      <c r="D10" s="48">
        <f>SUBTOTAL(103,tblJuly[3])</f>
        <v>0</v>
      </c>
      <c r="E10" s="48">
        <f>SUBTOTAL(103,tblJuly[4])</f>
        <v>0</v>
      </c>
      <c r="F10" s="48">
        <f>SUBTOTAL(103,tblJuly[5])</f>
        <v>0</v>
      </c>
      <c r="G10" s="48">
        <f>SUBTOTAL(103,tblJuly[6])</f>
        <v>0</v>
      </c>
      <c r="H10" s="48">
        <f>SUBTOTAL(103,tblJuly[7])</f>
        <v>0</v>
      </c>
      <c r="I10" s="48">
        <f>SUBTOTAL(103,tblJuly[8])</f>
        <v>0</v>
      </c>
      <c r="J10" s="48">
        <f>SUBTOTAL(103,tblJuly[9])</f>
        <v>0</v>
      </c>
      <c r="K10" s="48">
        <f>SUBTOTAL(103,tblJuly[10])</f>
        <v>0</v>
      </c>
      <c r="L10" s="48">
        <f>SUBTOTAL(103,tblJuly[11])</f>
        <v>0</v>
      </c>
      <c r="M10" s="48">
        <f>SUBTOTAL(103,tblJuly[12])</f>
        <v>0</v>
      </c>
      <c r="N10" s="48">
        <f>SUBTOTAL(103,tblJuly[13])</f>
        <v>0</v>
      </c>
      <c r="O10" s="48">
        <f>SUBTOTAL(103,tblJuly[14])</f>
        <v>0</v>
      </c>
      <c r="P10" s="48">
        <f>SUBTOTAL(103,tblJuly[15])</f>
        <v>0</v>
      </c>
      <c r="Q10" s="48">
        <f>SUBTOTAL(103,tblJuly[16])</f>
        <v>0</v>
      </c>
      <c r="R10" s="48">
        <f>SUBTOTAL(103,tblJuly[17])</f>
        <v>0</v>
      </c>
      <c r="S10" s="48">
        <f>SUBTOTAL(103,tblJuly[18])</f>
        <v>0</v>
      </c>
      <c r="T10" s="48">
        <f>SUBTOTAL(103,tblJuly[19])</f>
        <v>0</v>
      </c>
      <c r="U10" s="48">
        <f>SUBTOTAL(103,tblJuly[20])</f>
        <v>0</v>
      </c>
      <c r="V10" s="48">
        <f>SUBTOTAL(103,tblJuly[21])</f>
        <v>0</v>
      </c>
      <c r="W10" s="48">
        <f>SUBTOTAL(103,tblJuly[22])</f>
        <v>0</v>
      </c>
      <c r="X10" s="48">
        <f>SUBTOTAL(103,tblJuly[23])</f>
        <v>0</v>
      </c>
      <c r="Y10" s="48">
        <f>SUBTOTAL(103,tblJuly[24])</f>
        <v>0</v>
      </c>
      <c r="Z10" s="48">
        <f>SUBTOTAL(103,tblJuly[25])</f>
        <v>0</v>
      </c>
      <c r="AA10" s="48">
        <f>SUBTOTAL(103,tblJuly[26])</f>
        <v>0</v>
      </c>
      <c r="AB10" s="48">
        <f>SUBTOTAL(103,tblJuly[27])</f>
        <v>0</v>
      </c>
      <c r="AC10" s="48">
        <f>SUBTOTAL(103,tblJuly[28])</f>
        <v>0</v>
      </c>
      <c r="AD10" s="48">
        <f>SUBTOTAL(103,tblJuly[29])</f>
        <v>0</v>
      </c>
      <c r="AE10" s="48"/>
      <c r="AF10" s="48"/>
      <c r="AG10" s="11">
        <f>SUBTOTAL(109,tblJuly[Total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484" priority="2" stopIfTrue="1">
      <formula>B5=KeyCustom2</formula>
    </cfRule>
    <cfRule type="expression" dxfId="483" priority="3" stopIfTrue="1">
      <formula>B5=KeyCustom1</formula>
    </cfRule>
    <cfRule type="expression" dxfId="482" priority="4" stopIfTrue="1">
      <formula>B5=KeySick</formula>
    </cfRule>
    <cfRule type="expression" dxfId="481" priority="5" stopIfTrue="1">
      <formula>B5=KeyPersonal</formula>
    </cfRule>
    <cfRule type="expression" dxfId="480" priority="6" stopIfTrue="1">
      <formula>B5=KeyVacation</formula>
    </cfRule>
  </conditionalFormatting>
  <conditionalFormatting sqref="AG5:AG9">
    <cfRule type="dataBar" priority="25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{15FE6D65-ECEC-46F2-A3C1-0385AFBC7710}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FE6D65-ECEC-46F2-A3C1-0385AFBC7710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55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TEXT(WEEKDAY(DATE(CalendarYear,8,1),1),"aaa")</f>
        <v>Sat</v>
      </c>
      <c r="C3" s="25" t="str">
        <f>TEXT(WEEKDAY(DATE(CalendarYear,8,2),1),"aaa")</f>
        <v>Sun</v>
      </c>
      <c r="D3" s="25" t="str">
        <f>TEXT(WEEKDAY(DATE(CalendarYear,8,3),1),"aaa")</f>
        <v>Mon</v>
      </c>
      <c r="E3" s="25" t="str">
        <f>TEXT(WEEKDAY(DATE(CalendarYear,8,4),1),"aaa")</f>
        <v>Tue</v>
      </c>
      <c r="F3" s="25" t="str">
        <f>TEXT(WEEKDAY(DATE(CalendarYear,8,5),1),"aaa")</f>
        <v>Wed</v>
      </c>
      <c r="G3" s="25" t="str">
        <f>TEXT(WEEKDAY(DATE(CalendarYear,8,6),1),"aaa")</f>
        <v>Thu</v>
      </c>
      <c r="H3" s="25" t="str">
        <f>TEXT(WEEKDAY(DATE(CalendarYear,8,7),1),"aaa")</f>
        <v>Fri</v>
      </c>
      <c r="I3" s="25" t="str">
        <f>TEXT(WEEKDAY(DATE(CalendarYear,8,8),1),"aaa")</f>
        <v>Sat</v>
      </c>
      <c r="J3" s="25" t="str">
        <f>TEXT(WEEKDAY(DATE(CalendarYear,8,9),1),"aaa")</f>
        <v>Sun</v>
      </c>
      <c r="K3" s="25" t="str">
        <f>TEXT(WEEKDAY(DATE(CalendarYear,8,10),1),"aaa")</f>
        <v>Mon</v>
      </c>
      <c r="L3" s="25" t="str">
        <f>TEXT(WEEKDAY(DATE(CalendarYear,8,11),1),"aaa")</f>
        <v>Tue</v>
      </c>
      <c r="M3" s="25" t="str">
        <f>TEXT(WEEKDAY(DATE(CalendarYear,8,12),1),"aaa")</f>
        <v>Wed</v>
      </c>
      <c r="N3" s="25" t="str">
        <f>TEXT(WEEKDAY(DATE(CalendarYear,8,13),1),"aaa")</f>
        <v>Thu</v>
      </c>
      <c r="O3" s="25" t="str">
        <f>TEXT(WEEKDAY(DATE(CalendarYear,8,14),1),"aaa")</f>
        <v>Fri</v>
      </c>
      <c r="P3" s="25" t="str">
        <f>TEXT(WEEKDAY(DATE(CalendarYear,8,15),1),"aaa")</f>
        <v>Sat</v>
      </c>
      <c r="Q3" s="25" t="str">
        <f>TEXT(WEEKDAY(DATE(CalendarYear,8,16),1),"aaa")</f>
        <v>Sun</v>
      </c>
      <c r="R3" s="25" t="str">
        <f>TEXT(WEEKDAY(DATE(CalendarYear,8,17),1),"aaa")</f>
        <v>Mon</v>
      </c>
      <c r="S3" s="25" t="str">
        <f>TEXT(WEEKDAY(DATE(CalendarYear,8,18),1),"aaa")</f>
        <v>Tue</v>
      </c>
      <c r="T3" s="25" t="str">
        <f>TEXT(WEEKDAY(DATE(CalendarYear,8,19),1),"aaa")</f>
        <v>Wed</v>
      </c>
      <c r="U3" s="25" t="str">
        <f>TEXT(WEEKDAY(DATE(CalendarYear,8,20),1),"aaa")</f>
        <v>Thu</v>
      </c>
      <c r="V3" s="25" t="str">
        <f>TEXT(WEEKDAY(DATE(CalendarYear,8,21),1),"aaa")</f>
        <v>Fri</v>
      </c>
      <c r="W3" s="25" t="str">
        <f>TEXT(WEEKDAY(DATE(CalendarYear,8,22),1),"aaa")</f>
        <v>Sat</v>
      </c>
      <c r="X3" s="25" t="str">
        <f>TEXT(WEEKDAY(DATE(CalendarYear,8,23),1),"aaa")</f>
        <v>Sun</v>
      </c>
      <c r="Y3" s="25" t="str">
        <f>TEXT(WEEKDAY(DATE(CalendarYear,8,24),1),"aaa")</f>
        <v>Mon</v>
      </c>
      <c r="Z3" s="25" t="str">
        <f>TEXT(WEEKDAY(DATE(CalendarYear,8,25),1),"aaa")</f>
        <v>Tue</v>
      </c>
      <c r="AA3" s="25" t="str">
        <f>TEXT(WEEKDAY(DATE(CalendarYear,8,26),1),"aaa")</f>
        <v>Wed</v>
      </c>
      <c r="AB3" s="25" t="str">
        <f>TEXT(WEEKDAY(DATE(CalendarYear,8,27),1),"aaa")</f>
        <v>Thu</v>
      </c>
      <c r="AC3" s="25" t="str">
        <f>TEXT(WEEKDAY(DATE(CalendarYear,8,28),1),"aaa")</f>
        <v>Fri</v>
      </c>
      <c r="AD3" s="25" t="str">
        <f>TEXT(WEEKDAY(DATE(CalendarYear,8,29),1),"aaa")</f>
        <v>Sat</v>
      </c>
      <c r="AE3" s="25" t="str">
        <f>TEXT(WEEKDAY(DATE(CalendarYear,8,30),1),"aaa")</f>
        <v>Sun</v>
      </c>
      <c r="AF3" s="25" t="str">
        <f>TEXT(WEEKDAY(DATE(CalendarYear,8,31),1),"aaa")</f>
        <v>Mon</v>
      </c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32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COUNTA(tblAugust[[#This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COUNTA(tblAugust[[#This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COUNTA(tblAugust[[#This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COUNTA(tblAugust[[#This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COUNTA(tblAugust[[#This Row],[1]:[29]])</f>
        <v>0</v>
      </c>
    </row>
    <row r="10" spans="1:34" ht="15" customHeight="1" x14ac:dyDescent="0.25">
      <c r="A10" s="46" t="str">
        <f>MonthName&amp;" Total"</f>
        <v>August Total</v>
      </c>
      <c r="B10" s="48">
        <f>SUBTOTAL(103,tblAugust[1])</f>
        <v>0</v>
      </c>
      <c r="C10" s="48">
        <f>SUBTOTAL(103,tblAugust[2])</f>
        <v>0</v>
      </c>
      <c r="D10" s="48">
        <f>SUBTOTAL(103,tblAugust[3])</f>
        <v>0</v>
      </c>
      <c r="E10" s="48">
        <f>SUBTOTAL(103,tblAugust[4])</f>
        <v>0</v>
      </c>
      <c r="F10" s="48">
        <f>SUBTOTAL(103,tblAugust[5])</f>
        <v>0</v>
      </c>
      <c r="G10" s="48">
        <f>SUBTOTAL(103,tblAugust[6])</f>
        <v>0</v>
      </c>
      <c r="H10" s="48">
        <f>SUBTOTAL(103,tblAugust[7])</f>
        <v>0</v>
      </c>
      <c r="I10" s="48">
        <f>SUBTOTAL(103,tblAugust[8])</f>
        <v>0</v>
      </c>
      <c r="J10" s="48">
        <f>SUBTOTAL(103,tblAugust[9])</f>
        <v>0</v>
      </c>
      <c r="K10" s="48">
        <f>SUBTOTAL(103,tblAugust[10])</f>
        <v>0</v>
      </c>
      <c r="L10" s="48">
        <f>SUBTOTAL(103,tblAugust[11])</f>
        <v>0</v>
      </c>
      <c r="M10" s="48">
        <f>SUBTOTAL(103,tblAugust[12])</f>
        <v>0</v>
      </c>
      <c r="N10" s="48">
        <f>SUBTOTAL(103,tblAugust[13])</f>
        <v>0</v>
      </c>
      <c r="O10" s="48">
        <f>SUBTOTAL(103,tblAugust[14])</f>
        <v>0</v>
      </c>
      <c r="P10" s="48">
        <f>SUBTOTAL(103,tblAugust[15])</f>
        <v>0</v>
      </c>
      <c r="Q10" s="48">
        <f>SUBTOTAL(103,tblAugust[16])</f>
        <v>0</v>
      </c>
      <c r="R10" s="48">
        <f>SUBTOTAL(103,tblAugust[17])</f>
        <v>0</v>
      </c>
      <c r="S10" s="48">
        <f>SUBTOTAL(103,tblAugust[18])</f>
        <v>0</v>
      </c>
      <c r="T10" s="48">
        <f>SUBTOTAL(103,tblAugust[19])</f>
        <v>0</v>
      </c>
      <c r="U10" s="48">
        <f>SUBTOTAL(103,tblAugust[20])</f>
        <v>0</v>
      </c>
      <c r="V10" s="48">
        <f>SUBTOTAL(103,tblAugust[21])</f>
        <v>0</v>
      </c>
      <c r="W10" s="48">
        <f>SUBTOTAL(103,tblAugust[22])</f>
        <v>0</v>
      </c>
      <c r="X10" s="48">
        <f>SUBTOTAL(103,tblAugust[23])</f>
        <v>0</v>
      </c>
      <c r="Y10" s="48">
        <f>SUBTOTAL(103,tblAugust[24])</f>
        <v>0</v>
      </c>
      <c r="Z10" s="48">
        <f>SUBTOTAL(103,tblAugust[25])</f>
        <v>0</v>
      </c>
      <c r="AA10" s="48">
        <f>SUBTOTAL(103,tblAugust[26])</f>
        <v>0</v>
      </c>
      <c r="AB10" s="48">
        <f>SUBTOTAL(103,tblAugust[27])</f>
        <v>0</v>
      </c>
      <c r="AC10" s="48">
        <f>SUBTOTAL(103,tblAugust[28])</f>
        <v>0</v>
      </c>
      <c r="AD10" s="48">
        <f>SUBTOTAL(103,tblAugust[29])</f>
        <v>0</v>
      </c>
      <c r="AE10" s="48"/>
      <c r="AF10" s="48"/>
      <c r="AG10" s="11">
        <f>SUBTOTAL(109,tblAugust[Total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414" priority="2" stopIfTrue="1">
      <formula>B5=KeyCustom2</formula>
    </cfRule>
    <cfRule type="expression" dxfId="413" priority="3" stopIfTrue="1">
      <formula>B5=KeyCustom1</formula>
    </cfRule>
    <cfRule type="expression" dxfId="412" priority="4" stopIfTrue="1">
      <formula>B5=KeySick</formula>
    </cfRule>
    <cfRule type="expression" dxfId="411" priority="5" stopIfTrue="1">
      <formula>B5=KeyPersonal</formula>
    </cfRule>
    <cfRule type="expression" dxfId="410" priority="6" stopIfTrue="1">
      <formula>B5=KeyVacation</formula>
    </cfRule>
  </conditionalFormatting>
  <conditionalFormatting sqref="AG5:AG9">
    <cfRule type="dataBar" priority="26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{FC085EDD-0205-4B5F-B398-CECC5AA8DBEE}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085EDD-0205-4B5F-B398-CECC5AA8DBEE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56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TEXT(WEEKDAY(DATE(CalendarYear,9,1),1),"aaa")</f>
        <v>Tue</v>
      </c>
      <c r="C3" s="25" t="str">
        <f>TEXT(WEEKDAY(DATE(CalendarYear,9,2),1),"aaa")</f>
        <v>Wed</v>
      </c>
      <c r="D3" s="25" t="str">
        <f>TEXT(WEEKDAY(DATE(CalendarYear,9,3),1),"aaa")</f>
        <v>Thu</v>
      </c>
      <c r="E3" s="25" t="str">
        <f>TEXT(WEEKDAY(DATE(CalendarYear,9,4),1),"aaa")</f>
        <v>Fri</v>
      </c>
      <c r="F3" s="25" t="str">
        <f>TEXT(WEEKDAY(DATE(CalendarYear,9,5),1),"aaa")</f>
        <v>Sat</v>
      </c>
      <c r="G3" s="25" t="str">
        <f>TEXT(WEEKDAY(DATE(CalendarYear,9,6),1),"aaa")</f>
        <v>Sun</v>
      </c>
      <c r="H3" s="25" t="str">
        <f>TEXT(WEEKDAY(DATE(CalendarYear,9,7),1),"aaa")</f>
        <v>Mon</v>
      </c>
      <c r="I3" s="25" t="str">
        <f>TEXT(WEEKDAY(DATE(CalendarYear,9,8),1),"aaa")</f>
        <v>Tue</v>
      </c>
      <c r="J3" s="25" t="str">
        <f>TEXT(WEEKDAY(DATE(CalendarYear,9,9),1),"aaa")</f>
        <v>Wed</v>
      </c>
      <c r="K3" s="25" t="str">
        <f>TEXT(WEEKDAY(DATE(CalendarYear,9,10),1),"aaa")</f>
        <v>Thu</v>
      </c>
      <c r="L3" s="25" t="str">
        <f>TEXT(WEEKDAY(DATE(CalendarYear,9,11),1),"aaa")</f>
        <v>Fri</v>
      </c>
      <c r="M3" s="25" t="str">
        <f>TEXT(WEEKDAY(DATE(CalendarYear,9,12),1),"aaa")</f>
        <v>Sat</v>
      </c>
      <c r="N3" s="25" t="str">
        <f>TEXT(WEEKDAY(DATE(CalendarYear,9,13),1),"aaa")</f>
        <v>Sun</v>
      </c>
      <c r="O3" s="25" t="str">
        <f>TEXT(WEEKDAY(DATE(CalendarYear,9,14),1),"aaa")</f>
        <v>Mon</v>
      </c>
      <c r="P3" s="25" t="str">
        <f>TEXT(WEEKDAY(DATE(CalendarYear,9,15),1),"aaa")</f>
        <v>Tue</v>
      </c>
      <c r="Q3" s="25" t="str">
        <f>TEXT(WEEKDAY(DATE(CalendarYear,9,16),1),"aaa")</f>
        <v>Wed</v>
      </c>
      <c r="R3" s="25" t="str">
        <f>TEXT(WEEKDAY(DATE(CalendarYear,9,17),1),"aaa")</f>
        <v>Thu</v>
      </c>
      <c r="S3" s="25" t="str">
        <f>TEXT(WEEKDAY(DATE(CalendarYear,9,18),1),"aaa")</f>
        <v>Fri</v>
      </c>
      <c r="T3" s="25" t="str">
        <f>TEXT(WEEKDAY(DATE(CalendarYear,9,19),1),"aaa")</f>
        <v>Sat</v>
      </c>
      <c r="U3" s="25" t="str">
        <f>TEXT(WEEKDAY(DATE(CalendarYear,9,20),1),"aaa")</f>
        <v>Sun</v>
      </c>
      <c r="V3" s="25" t="str">
        <f>TEXT(WEEKDAY(DATE(CalendarYear,9,21),1),"aaa")</f>
        <v>Mon</v>
      </c>
      <c r="W3" s="25" t="str">
        <f>TEXT(WEEKDAY(DATE(CalendarYear,9,22),1),"aaa")</f>
        <v>Tue</v>
      </c>
      <c r="X3" s="25" t="str">
        <f>TEXT(WEEKDAY(DATE(CalendarYear,9,23),1),"aaa")</f>
        <v>Wed</v>
      </c>
      <c r="Y3" s="25" t="str">
        <f>TEXT(WEEKDAY(DATE(CalendarYear,9,24),1),"aaa")</f>
        <v>Thu</v>
      </c>
      <c r="Z3" s="25" t="str">
        <f>TEXT(WEEKDAY(DATE(CalendarYear,9,25),1),"aaa")</f>
        <v>Fri</v>
      </c>
      <c r="AA3" s="25" t="str">
        <f>TEXT(WEEKDAY(DATE(CalendarYear,9,26),1),"aaa")</f>
        <v>Sat</v>
      </c>
      <c r="AB3" s="25" t="str">
        <f>TEXT(WEEKDAY(DATE(CalendarYear,9,27),1),"aaa")</f>
        <v>Sun</v>
      </c>
      <c r="AC3" s="25" t="str">
        <f>TEXT(WEEKDAY(DATE(CalendarYear,9,28),1),"aaa")</f>
        <v>Mon</v>
      </c>
      <c r="AD3" s="25" t="str">
        <f>TEXT(WEEKDAY(DATE(CalendarYear,9,29),1),"aaa")</f>
        <v>Tue</v>
      </c>
      <c r="AE3" s="25" t="str">
        <f>TEXT(WEEKDAY(DATE(CalendarYear,9,30),1),"aaa")</f>
        <v>Wed</v>
      </c>
      <c r="AF3" s="25"/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38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COUNTA(tblSeptember[[#This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COUNTA(tblSeptember[[#This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COUNTA(tblSeptember[[#This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COUNTA(tblSeptember[[#This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COUNTA(tblSeptember[[#This Row],[1]:[29]])</f>
        <v>0</v>
      </c>
    </row>
    <row r="10" spans="1:34" ht="15" customHeight="1" x14ac:dyDescent="0.25">
      <c r="A10" s="46" t="str">
        <f>MonthName&amp;" Total"</f>
        <v>September Total</v>
      </c>
      <c r="B10" s="48">
        <f>SUBTOTAL(103,tblSeptember[1])</f>
        <v>0</v>
      </c>
      <c r="C10" s="48">
        <f>SUBTOTAL(103,tblSeptember[2])</f>
        <v>0</v>
      </c>
      <c r="D10" s="48">
        <f>SUBTOTAL(103,tblSeptember[3])</f>
        <v>0</v>
      </c>
      <c r="E10" s="48">
        <f>SUBTOTAL(103,tblSeptember[4])</f>
        <v>0</v>
      </c>
      <c r="F10" s="48">
        <f>SUBTOTAL(103,tblSeptember[5])</f>
        <v>0</v>
      </c>
      <c r="G10" s="48">
        <f>SUBTOTAL(103,tblSeptember[6])</f>
        <v>0</v>
      </c>
      <c r="H10" s="48">
        <f>SUBTOTAL(103,tblSeptember[7])</f>
        <v>0</v>
      </c>
      <c r="I10" s="48">
        <f>SUBTOTAL(103,tblSeptember[8])</f>
        <v>0</v>
      </c>
      <c r="J10" s="48">
        <f>SUBTOTAL(103,tblSeptember[9])</f>
        <v>0</v>
      </c>
      <c r="K10" s="48">
        <f>SUBTOTAL(103,tblSeptember[10])</f>
        <v>0</v>
      </c>
      <c r="L10" s="48">
        <f>SUBTOTAL(103,tblSeptember[11])</f>
        <v>0</v>
      </c>
      <c r="M10" s="48">
        <f>SUBTOTAL(103,tblSeptember[12])</f>
        <v>0</v>
      </c>
      <c r="N10" s="48">
        <f>SUBTOTAL(103,tblSeptember[13])</f>
        <v>0</v>
      </c>
      <c r="O10" s="48">
        <f>SUBTOTAL(103,tblSeptember[14])</f>
        <v>0</v>
      </c>
      <c r="P10" s="48">
        <f>SUBTOTAL(103,tblSeptember[15])</f>
        <v>0</v>
      </c>
      <c r="Q10" s="48">
        <f>SUBTOTAL(103,tblSeptember[16])</f>
        <v>0</v>
      </c>
      <c r="R10" s="48">
        <f>SUBTOTAL(103,tblSeptember[17])</f>
        <v>0</v>
      </c>
      <c r="S10" s="48">
        <f>SUBTOTAL(103,tblSeptember[18])</f>
        <v>0</v>
      </c>
      <c r="T10" s="48">
        <f>SUBTOTAL(103,tblSeptember[19])</f>
        <v>0</v>
      </c>
      <c r="U10" s="48">
        <f>SUBTOTAL(103,tblSeptember[20])</f>
        <v>0</v>
      </c>
      <c r="V10" s="48">
        <f>SUBTOTAL(103,tblSeptember[21])</f>
        <v>0</v>
      </c>
      <c r="W10" s="48">
        <f>SUBTOTAL(103,tblSeptember[22])</f>
        <v>0</v>
      </c>
      <c r="X10" s="48">
        <f>SUBTOTAL(103,tblSeptember[23])</f>
        <v>0</v>
      </c>
      <c r="Y10" s="48">
        <f>SUBTOTAL(103,tblSeptember[24])</f>
        <v>0</v>
      </c>
      <c r="Z10" s="48">
        <f>SUBTOTAL(103,tblSeptember[25])</f>
        <v>0</v>
      </c>
      <c r="AA10" s="48">
        <f>SUBTOTAL(103,tblSeptember[26])</f>
        <v>0</v>
      </c>
      <c r="AB10" s="48">
        <f>SUBTOTAL(103,tblSeptember[27])</f>
        <v>0</v>
      </c>
      <c r="AC10" s="48">
        <f>SUBTOTAL(103,tblSeptember[28])</f>
        <v>0</v>
      </c>
      <c r="AD10" s="48">
        <f>SUBTOTAL(103,tblSeptember[29])</f>
        <v>0</v>
      </c>
      <c r="AE10" s="48"/>
      <c r="AF10" s="48"/>
      <c r="AG10" s="11">
        <f>SUBTOTAL(109,tblSeptember[Total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344" priority="2" stopIfTrue="1">
      <formula>B5=KeyCustom2</formula>
    </cfRule>
    <cfRule type="expression" dxfId="343" priority="3" stopIfTrue="1">
      <formula>B5=KeyCustom1</formula>
    </cfRule>
    <cfRule type="expression" dxfId="342" priority="4" stopIfTrue="1">
      <formula>B5=KeySick</formula>
    </cfRule>
    <cfRule type="expression" dxfId="341" priority="5" stopIfTrue="1">
      <formula>B5=KeyPersonal</formula>
    </cfRule>
    <cfRule type="expression" dxfId="340" priority="6" stopIfTrue="1">
      <formula>B5=KeyVacation</formula>
    </cfRule>
  </conditionalFormatting>
  <conditionalFormatting sqref="AG5:AG9">
    <cfRule type="dataBar" priority="27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{1477F465-23A5-4E7F-BDEC-11297175FB9A}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77F465-23A5-4E7F-BDEC-11297175FB9A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57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TEXT(WEEKDAY(DATE(CalendarYear,10,1),1),"aaa")</f>
        <v>Thu</v>
      </c>
      <c r="C3" s="25" t="str">
        <f>TEXT(WEEKDAY(DATE(CalendarYear,10,2),1),"aaa")</f>
        <v>Fri</v>
      </c>
      <c r="D3" s="25" t="str">
        <f>TEXT(WEEKDAY(DATE(CalendarYear,10,3),1),"aaa")</f>
        <v>Sat</v>
      </c>
      <c r="E3" s="25" t="str">
        <f>TEXT(WEEKDAY(DATE(CalendarYear,10,4),1),"aaa")</f>
        <v>Sun</v>
      </c>
      <c r="F3" s="25" t="str">
        <f>TEXT(WEEKDAY(DATE(CalendarYear,10,5),1),"aaa")</f>
        <v>Mon</v>
      </c>
      <c r="G3" s="25" t="str">
        <f>TEXT(WEEKDAY(DATE(CalendarYear,10,6),1),"aaa")</f>
        <v>Tue</v>
      </c>
      <c r="H3" s="25" t="str">
        <f>TEXT(WEEKDAY(DATE(CalendarYear,10,7),1),"aaa")</f>
        <v>Wed</v>
      </c>
      <c r="I3" s="25" t="str">
        <f>TEXT(WEEKDAY(DATE(CalendarYear,10,8),1),"aaa")</f>
        <v>Thu</v>
      </c>
      <c r="J3" s="25" t="str">
        <f>TEXT(WEEKDAY(DATE(CalendarYear,10,9),1),"aaa")</f>
        <v>Fri</v>
      </c>
      <c r="K3" s="25" t="str">
        <f>TEXT(WEEKDAY(DATE(CalendarYear,10,10),1),"aaa")</f>
        <v>Sat</v>
      </c>
      <c r="L3" s="25" t="str">
        <f>TEXT(WEEKDAY(DATE(CalendarYear,10,11),1),"aaa")</f>
        <v>Sun</v>
      </c>
      <c r="M3" s="25" t="str">
        <f>TEXT(WEEKDAY(DATE(CalendarYear,10,12),1),"aaa")</f>
        <v>Mon</v>
      </c>
      <c r="N3" s="25" t="str">
        <f>TEXT(WEEKDAY(DATE(CalendarYear,10,13),1),"aaa")</f>
        <v>Tue</v>
      </c>
      <c r="O3" s="25" t="str">
        <f>TEXT(WEEKDAY(DATE(CalendarYear,10,14),1),"aaa")</f>
        <v>Wed</v>
      </c>
      <c r="P3" s="25" t="str">
        <f>TEXT(WEEKDAY(DATE(CalendarYear,10,15),1),"aaa")</f>
        <v>Thu</v>
      </c>
      <c r="Q3" s="25" t="str">
        <f>TEXT(WEEKDAY(DATE(CalendarYear,10,16),1),"aaa")</f>
        <v>Fri</v>
      </c>
      <c r="R3" s="25" t="str">
        <f>TEXT(WEEKDAY(DATE(CalendarYear,10,17),1),"aaa")</f>
        <v>Sat</v>
      </c>
      <c r="S3" s="25" t="str">
        <f>TEXT(WEEKDAY(DATE(CalendarYear,10,18),1),"aaa")</f>
        <v>Sun</v>
      </c>
      <c r="T3" s="25" t="str">
        <f>TEXT(WEEKDAY(DATE(CalendarYear,10,19),1),"aaa")</f>
        <v>Mon</v>
      </c>
      <c r="U3" s="25" t="str">
        <f>TEXT(WEEKDAY(DATE(CalendarYear,10,20),1),"aaa")</f>
        <v>Tue</v>
      </c>
      <c r="V3" s="25" t="str">
        <f>TEXT(WEEKDAY(DATE(CalendarYear,10,21),1),"aaa")</f>
        <v>Wed</v>
      </c>
      <c r="W3" s="25" t="str">
        <f>TEXT(WEEKDAY(DATE(CalendarYear,10,22),1),"aaa")</f>
        <v>Thu</v>
      </c>
      <c r="X3" s="25" t="str">
        <f>TEXT(WEEKDAY(DATE(CalendarYear,10,23),1),"aaa")</f>
        <v>Fri</v>
      </c>
      <c r="Y3" s="25" t="str">
        <f>TEXT(WEEKDAY(DATE(CalendarYear,10,24),1),"aaa")</f>
        <v>Sat</v>
      </c>
      <c r="Z3" s="25" t="str">
        <f>TEXT(WEEKDAY(DATE(CalendarYear,10,25),1),"aaa")</f>
        <v>Sun</v>
      </c>
      <c r="AA3" s="25" t="str">
        <f>TEXT(WEEKDAY(DATE(CalendarYear,10,26),1),"aaa")</f>
        <v>Mon</v>
      </c>
      <c r="AB3" s="25" t="str">
        <f>TEXT(WEEKDAY(DATE(CalendarYear,10,27),1),"aaa")</f>
        <v>Tue</v>
      </c>
      <c r="AC3" s="25" t="str">
        <f>TEXT(WEEKDAY(DATE(CalendarYear,10,28),1),"aaa")</f>
        <v>Wed</v>
      </c>
      <c r="AD3" s="25" t="str">
        <f>TEXT(WEEKDAY(DATE(CalendarYear,10,29),1),"aaa")</f>
        <v>Thu</v>
      </c>
      <c r="AE3" s="25" t="str">
        <f>TEXT(WEEKDAY(DATE(CalendarYear,10,30),1),"aaa")</f>
        <v>Fri</v>
      </c>
      <c r="AF3" s="25" t="str">
        <f>TEXT(WEEKDAY(DATE(CalendarYear,10,31),1),"aaa")</f>
        <v>Sat</v>
      </c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32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COUNTA(tblOctober[[#This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COUNTA(tblOctober[[#This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COUNTA(tblOctober[[#This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COUNTA(tblOctober[[#This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COUNTA(tblOctober[[#This Row],[1]:[29]])</f>
        <v>0</v>
      </c>
    </row>
    <row r="10" spans="1:34" ht="15" customHeight="1" x14ac:dyDescent="0.25">
      <c r="A10" s="46" t="str">
        <f>MonthName&amp;" Total"</f>
        <v>October Total</v>
      </c>
      <c r="B10" s="48">
        <f>SUBTOTAL(103,tblOctober[1])</f>
        <v>0</v>
      </c>
      <c r="C10" s="48">
        <f>SUBTOTAL(103,tblOctober[2])</f>
        <v>0</v>
      </c>
      <c r="D10" s="48">
        <f>SUBTOTAL(103,tblOctober[3])</f>
        <v>0</v>
      </c>
      <c r="E10" s="48">
        <f>SUBTOTAL(103,tblOctober[4])</f>
        <v>0</v>
      </c>
      <c r="F10" s="48">
        <f>SUBTOTAL(103,tblOctober[5])</f>
        <v>0</v>
      </c>
      <c r="G10" s="48">
        <f>SUBTOTAL(103,tblOctober[6])</f>
        <v>0</v>
      </c>
      <c r="H10" s="48">
        <f>SUBTOTAL(103,tblOctober[7])</f>
        <v>0</v>
      </c>
      <c r="I10" s="48">
        <f>SUBTOTAL(103,tblOctober[8])</f>
        <v>0</v>
      </c>
      <c r="J10" s="48">
        <f>SUBTOTAL(103,tblOctober[9])</f>
        <v>0</v>
      </c>
      <c r="K10" s="48">
        <f>SUBTOTAL(103,tblOctober[10])</f>
        <v>0</v>
      </c>
      <c r="L10" s="48">
        <f>SUBTOTAL(103,tblOctober[11])</f>
        <v>0</v>
      </c>
      <c r="M10" s="48">
        <f>SUBTOTAL(103,tblOctober[12])</f>
        <v>0</v>
      </c>
      <c r="N10" s="48">
        <f>SUBTOTAL(103,tblOctober[13])</f>
        <v>0</v>
      </c>
      <c r="O10" s="48">
        <f>SUBTOTAL(103,tblOctober[14])</f>
        <v>0</v>
      </c>
      <c r="P10" s="48">
        <f>SUBTOTAL(103,tblOctober[15])</f>
        <v>0</v>
      </c>
      <c r="Q10" s="48">
        <f>SUBTOTAL(103,tblOctober[16])</f>
        <v>0</v>
      </c>
      <c r="R10" s="48">
        <f>SUBTOTAL(103,tblOctober[17])</f>
        <v>0</v>
      </c>
      <c r="S10" s="48">
        <f>SUBTOTAL(103,tblOctober[18])</f>
        <v>0</v>
      </c>
      <c r="T10" s="48">
        <f>SUBTOTAL(103,tblOctober[19])</f>
        <v>0</v>
      </c>
      <c r="U10" s="48">
        <f>SUBTOTAL(103,tblOctober[20])</f>
        <v>0</v>
      </c>
      <c r="V10" s="48">
        <f>SUBTOTAL(103,tblOctober[21])</f>
        <v>0</v>
      </c>
      <c r="W10" s="48">
        <f>SUBTOTAL(103,tblOctober[22])</f>
        <v>0</v>
      </c>
      <c r="X10" s="48">
        <f>SUBTOTAL(103,tblOctober[23])</f>
        <v>0</v>
      </c>
      <c r="Y10" s="48">
        <f>SUBTOTAL(103,tblOctober[24])</f>
        <v>0</v>
      </c>
      <c r="Z10" s="48">
        <f>SUBTOTAL(103,tblOctober[25])</f>
        <v>0</v>
      </c>
      <c r="AA10" s="48">
        <f>SUBTOTAL(103,tblOctober[26])</f>
        <v>0</v>
      </c>
      <c r="AB10" s="48">
        <f>SUBTOTAL(103,tblOctober[27])</f>
        <v>0</v>
      </c>
      <c r="AC10" s="48">
        <f>SUBTOTAL(103,tblOctober[28])</f>
        <v>0</v>
      </c>
      <c r="AD10" s="48">
        <f>SUBTOTAL(103,tblOctober[29])</f>
        <v>0</v>
      </c>
      <c r="AE10" s="48"/>
      <c r="AF10" s="48"/>
      <c r="AG10" s="11">
        <f>SUBTOTAL(109,tblOctober[Total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274" priority="2" stopIfTrue="1">
      <formula>B5=KeyCustom2</formula>
    </cfRule>
    <cfRule type="expression" dxfId="273" priority="3" stopIfTrue="1">
      <formula>B5=KeyCustom1</formula>
    </cfRule>
    <cfRule type="expression" dxfId="272" priority="4" stopIfTrue="1">
      <formula>B5=KeySick</formula>
    </cfRule>
    <cfRule type="expression" dxfId="271" priority="5" stopIfTrue="1">
      <formula>B5=KeyPersonal</formula>
    </cfRule>
    <cfRule type="expression" dxfId="270" priority="6" stopIfTrue="1">
      <formula>B5=KeyVacation</formula>
    </cfRule>
  </conditionalFormatting>
  <conditionalFormatting sqref="AG5:AG9">
    <cfRule type="dataBar" priority="28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{A550AEEE-9357-4FFF-B99F-F96B7CA41630}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0AEEE-9357-4FFF-B99F-F96B7CA41630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58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TEXT(WEEKDAY(DATE(CalendarYear,11,1),1),"aaa")</f>
        <v>Sun</v>
      </c>
      <c r="C3" s="25" t="str">
        <f>TEXT(WEEKDAY(DATE(CalendarYear,11,2),1),"aaa")</f>
        <v>Mon</v>
      </c>
      <c r="D3" s="25" t="str">
        <f>TEXT(WEEKDAY(DATE(CalendarYear,11,3),1),"aaa")</f>
        <v>Tue</v>
      </c>
      <c r="E3" s="25" t="str">
        <f>TEXT(WEEKDAY(DATE(CalendarYear,11,4),1),"aaa")</f>
        <v>Wed</v>
      </c>
      <c r="F3" s="25" t="str">
        <f>TEXT(WEEKDAY(DATE(CalendarYear,11,5),1),"aaa")</f>
        <v>Thu</v>
      </c>
      <c r="G3" s="25" t="str">
        <f>TEXT(WEEKDAY(DATE(CalendarYear,11,6),1),"aaa")</f>
        <v>Fri</v>
      </c>
      <c r="H3" s="25" t="str">
        <f>TEXT(WEEKDAY(DATE(CalendarYear,11,7),1),"aaa")</f>
        <v>Sat</v>
      </c>
      <c r="I3" s="25" t="str">
        <f>TEXT(WEEKDAY(DATE(CalendarYear,11,8),1),"aaa")</f>
        <v>Sun</v>
      </c>
      <c r="J3" s="25" t="str">
        <f>TEXT(WEEKDAY(DATE(CalendarYear,11,9),1),"aaa")</f>
        <v>Mon</v>
      </c>
      <c r="K3" s="25" t="str">
        <f>TEXT(WEEKDAY(DATE(CalendarYear,11,10),1),"aaa")</f>
        <v>Tue</v>
      </c>
      <c r="L3" s="25" t="str">
        <f>TEXT(WEEKDAY(DATE(CalendarYear,11,11),1),"aaa")</f>
        <v>Wed</v>
      </c>
      <c r="M3" s="25" t="str">
        <f>TEXT(WEEKDAY(DATE(CalendarYear,11,12),1),"aaa")</f>
        <v>Thu</v>
      </c>
      <c r="N3" s="25" t="str">
        <f>TEXT(WEEKDAY(DATE(CalendarYear,11,13),1),"aaa")</f>
        <v>Fri</v>
      </c>
      <c r="O3" s="25" t="str">
        <f>TEXT(WEEKDAY(DATE(CalendarYear,11,14),1),"aaa")</f>
        <v>Sat</v>
      </c>
      <c r="P3" s="25" t="str">
        <f>TEXT(WEEKDAY(DATE(CalendarYear,11,15),1),"aaa")</f>
        <v>Sun</v>
      </c>
      <c r="Q3" s="25" t="str">
        <f>TEXT(WEEKDAY(DATE(CalendarYear,11,16),1),"aaa")</f>
        <v>Mon</v>
      </c>
      <c r="R3" s="25" t="str">
        <f>TEXT(WEEKDAY(DATE(CalendarYear,11,17),1),"aaa")</f>
        <v>Tue</v>
      </c>
      <c r="S3" s="25" t="str">
        <f>TEXT(WEEKDAY(DATE(CalendarYear,11,18),1),"aaa")</f>
        <v>Wed</v>
      </c>
      <c r="T3" s="25" t="str">
        <f>TEXT(WEEKDAY(DATE(CalendarYear,11,19),1),"aaa")</f>
        <v>Thu</v>
      </c>
      <c r="U3" s="25" t="str">
        <f>TEXT(WEEKDAY(DATE(CalendarYear,11,20),1),"aaa")</f>
        <v>Fri</v>
      </c>
      <c r="V3" s="25" t="str">
        <f>TEXT(WEEKDAY(DATE(CalendarYear,11,21),1),"aaa")</f>
        <v>Sat</v>
      </c>
      <c r="W3" s="25" t="str">
        <f>TEXT(WEEKDAY(DATE(CalendarYear,11,22),1),"aaa")</f>
        <v>Sun</v>
      </c>
      <c r="X3" s="25" t="str">
        <f>TEXT(WEEKDAY(DATE(CalendarYear,11,23),1),"aaa")</f>
        <v>Mon</v>
      </c>
      <c r="Y3" s="25" t="str">
        <f>TEXT(WEEKDAY(DATE(CalendarYear,11,24),1),"aaa")</f>
        <v>Tue</v>
      </c>
      <c r="Z3" s="25" t="str">
        <f>TEXT(WEEKDAY(DATE(CalendarYear,11,25),1),"aaa")</f>
        <v>Wed</v>
      </c>
      <c r="AA3" s="25" t="str">
        <f>TEXT(WEEKDAY(DATE(CalendarYear,11,26),1),"aaa")</f>
        <v>Thu</v>
      </c>
      <c r="AB3" s="25" t="str">
        <f>TEXT(WEEKDAY(DATE(CalendarYear,11,27),1),"aaa")</f>
        <v>Fri</v>
      </c>
      <c r="AC3" s="25" t="str">
        <f>TEXT(WEEKDAY(DATE(CalendarYear,11,28),1),"aaa")</f>
        <v>Sat</v>
      </c>
      <c r="AD3" s="25" t="str">
        <f>TEXT(WEEKDAY(DATE(CalendarYear,11,29),1),"aaa")</f>
        <v>Sun</v>
      </c>
      <c r="AE3" s="25" t="str">
        <f>TEXT(WEEKDAY(DATE(CalendarYear,11,30),1),"aaa")</f>
        <v>Mon</v>
      </c>
      <c r="AF3" s="25"/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38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COUNTA(tblNovember[[#This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COUNTA(tblNovember[[#This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COUNTA(tblNovember[[#This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COUNTA(tblNovember[[#This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COUNTA(tblNovember[[#This Row],[1]:[29]])</f>
        <v>0</v>
      </c>
    </row>
    <row r="10" spans="1:34" ht="15" customHeight="1" x14ac:dyDescent="0.25">
      <c r="A10" s="46" t="str">
        <f>MonthName&amp;" Total"</f>
        <v>November Total</v>
      </c>
      <c r="B10" s="48">
        <f>SUBTOTAL(103,tblNovember[1])</f>
        <v>0</v>
      </c>
      <c r="C10" s="48">
        <f>SUBTOTAL(103,tblNovember[2])</f>
        <v>0</v>
      </c>
      <c r="D10" s="48">
        <f>SUBTOTAL(103,tblNovember[3])</f>
        <v>0</v>
      </c>
      <c r="E10" s="48">
        <f>SUBTOTAL(103,tblNovember[4])</f>
        <v>0</v>
      </c>
      <c r="F10" s="48">
        <f>SUBTOTAL(103,tblNovember[5])</f>
        <v>0</v>
      </c>
      <c r="G10" s="48">
        <f>SUBTOTAL(103,tblNovember[6])</f>
        <v>0</v>
      </c>
      <c r="H10" s="48">
        <f>SUBTOTAL(103,tblNovember[7])</f>
        <v>0</v>
      </c>
      <c r="I10" s="48">
        <f>SUBTOTAL(103,tblNovember[8])</f>
        <v>0</v>
      </c>
      <c r="J10" s="48">
        <f>SUBTOTAL(103,tblNovember[9])</f>
        <v>0</v>
      </c>
      <c r="K10" s="48">
        <f>SUBTOTAL(103,tblNovember[10])</f>
        <v>0</v>
      </c>
      <c r="L10" s="48">
        <f>SUBTOTAL(103,tblNovember[11])</f>
        <v>0</v>
      </c>
      <c r="M10" s="48">
        <f>SUBTOTAL(103,tblNovember[12])</f>
        <v>0</v>
      </c>
      <c r="N10" s="48">
        <f>SUBTOTAL(103,tblNovember[13])</f>
        <v>0</v>
      </c>
      <c r="O10" s="48">
        <f>SUBTOTAL(103,tblNovember[14])</f>
        <v>0</v>
      </c>
      <c r="P10" s="48">
        <f>SUBTOTAL(103,tblNovember[15])</f>
        <v>0</v>
      </c>
      <c r="Q10" s="48">
        <f>SUBTOTAL(103,tblNovember[16])</f>
        <v>0</v>
      </c>
      <c r="R10" s="48">
        <f>SUBTOTAL(103,tblNovember[17])</f>
        <v>0</v>
      </c>
      <c r="S10" s="48">
        <f>SUBTOTAL(103,tblNovember[18])</f>
        <v>0</v>
      </c>
      <c r="T10" s="48">
        <f>SUBTOTAL(103,tblNovember[19])</f>
        <v>0</v>
      </c>
      <c r="U10" s="48">
        <f>SUBTOTAL(103,tblNovember[20])</f>
        <v>0</v>
      </c>
      <c r="V10" s="48">
        <f>SUBTOTAL(103,tblNovember[21])</f>
        <v>0</v>
      </c>
      <c r="W10" s="48">
        <f>SUBTOTAL(103,tblNovember[22])</f>
        <v>0</v>
      </c>
      <c r="X10" s="48">
        <f>SUBTOTAL(103,tblNovember[23])</f>
        <v>0</v>
      </c>
      <c r="Y10" s="48">
        <f>SUBTOTAL(103,tblNovember[24])</f>
        <v>0</v>
      </c>
      <c r="Z10" s="48">
        <f>SUBTOTAL(103,tblNovember[25])</f>
        <v>0</v>
      </c>
      <c r="AA10" s="48">
        <f>SUBTOTAL(103,tblNovember[26])</f>
        <v>0</v>
      </c>
      <c r="AB10" s="48">
        <f>SUBTOTAL(103,tblNovember[27])</f>
        <v>0</v>
      </c>
      <c r="AC10" s="48">
        <f>SUBTOTAL(103,tblNovember[28])</f>
        <v>0</v>
      </c>
      <c r="AD10" s="48">
        <f>SUBTOTAL(103,tblNovember[29])</f>
        <v>0</v>
      </c>
      <c r="AE10" s="48"/>
      <c r="AF10" s="48"/>
      <c r="AG10" s="11">
        <f>SUBTOTAL(109,tblNovember[Total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204" priority="2" stopIfTrue="1">
      <formula>B5=KeyCustom2</formula>
    </cfRule>
    <cfRule type="expression" dxfId="203" priority="3" stopIfTrue="1">
      <formula>B5=KeyCustom1</formula>
    </cfRule>
    <cfRule type="expression" dxfId="202" priority="4" stopIfTrue="1">
      <formula>B5=KeySick</formula>
    </cfRule>
    <cfRule type="expression" dxfId="201" priority="5" stopIfTrue="1">
      <formula>B5=KeyPersonal</formula>
    </cfRule>
    <cfRule type="expression" dxfId="200" priority="6" stopIfTrue="1">
      <formula>B5=KeyVacation</formula>
    </cfRule>
  </conditionalFormatting>
  <conditionalFormatting sqref="AG5:AG9">
    <cfRule type="dataBar" priority="29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{A15D8916-F091-4425-9705-45472C7168ED}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D8916-F091-4425-9705-45472C7168ED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2"/>
  <sheetViews>
    <sheetView showGridLines="0" zoomScaleNormal="100" workbookViewId="0"/>
  </sheetViews>
  <sheetFormatPr defaultColWidth="9.1796875" defaultRowHeight="15" customHeight="1" x14ac:dyDescent="0.25"/>
  <cols>
    <col min="1" max="1" width="24.26953125" style="15" customWidth="1"/>
    <col min="2" max="32" width="4" style="13" customWidth="1"/>
    <col min="33" max="33" width="13.54296875" style="12" customWidth="1"/>
    <col min="34" max="34" width="9.1796875" style="13"/>
    <col min="35" max="16384" width="9.1796875" style="14"/>
  </cols>
  <sheetData>
    <row r="1" spans="1:34" s="1" customFormat="1" ht="50.25" customHeight="1" x14ac:dyDescent="0.35">
      <c r="A1" s="39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7"/>
      <c r="AE1" s="18"/>
      <c r="AF1"/>
      <c r="AG1"/>
      <c r="AH1" s="2"/>
    </row>
    <row r="2" spans="1:34" ht="30" customHeight="1" x14ac:dyDescent="0.25">
      <c r="A2" s="50" t="s">
        <v>59</v>
      </c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>
        <f>CalendarYear</f>
        <v>2015</v>
      </c>
    </row>
    <row r="3" spans="1:34" ht="15.75" customHeight="1" x14ac:dyDescent="0.3">
      <c r="A3" s="52"/>
      <c r="B3" s="24" t="str">
        <f>TEXT(WEEKDAY(DATE(CalendarYear,12,1),1),"aaa")</f>
        <v>Tue</v>
      </c>
      <c r="C3" s="25" t="str">
        <f>TEXT(WEEKDAY(DATE(CalendarYear,12,2),1),"aaa")</f>
        <v>Wed</v>
      </c>
      <c r="D3" s="25" t="str">
        <f>TEXT(WEEKDAY(DATE(CalendarYear,12,3),1),"aaa")</f>
        <v>Thu</v>
      </c>
      <c r="E3" s="25" t="str">
        <f>TEXT(WEEKDAY(DATE(CalendarYear,12,4),1),"aaa")</f>
        <v>Fri</v>
      </c>
      <c r="F3" s="25" t="str">
        <f>TEXT(WEEKDAY(DATE(CalendarYear,12,5),1),"aaa")</f>
        <v>Sat</v>
      </c>
      <c r="G3" s="25" t="str">
        <f>TEXT(WEEKDAY(DATE(CalendarYear,12,6),1),"aaa")</f>
        <v>Sun</v>
      </c>
      <c r="H3" s="25" t="str">
        <f>TEXT(WEEKDAY(DATE(CalendarYear,12,7),1),"aaa")</f>
        <v>Mon</v>
      </c>
      <c r="I3" s="25" t="str">
        <f>TEXT(WEEKDAY(DATE(CalendarYear,12,8),1),"aaa")</f>
        <v>Tue</v>
      </c>
      <c r="J3" s="25" t="str">
        <f>TEXT(WEEKDAY(DATE(CalendarYear,12,9),1),"aaa")</f>
        <v>Wed</v>
      </c>
      <c r="K3" s="25" t="str">
        <f>TEXT(WEEKDAY(DATE(CalendarYear,12,10),1),"aaa")</f>
        <v>Thu</v>
      </c>
      <c r="L3" s="25" t="str">
        <f>TEXT(WEEKDAY(DATE(CalendarYear,12,11),1),"aaa")</f>
        <v>Fri</v>
      </c>
      <c r="M3" s="25" t="str">
        <f>TEXT(WEEKDAY(DATE(CalendarYear,12,12),1),"aaa")</f>
        <v>Sat</v>
      </c>
      <c r="N3" s="25" t="str">
        <f>TEXT(WEEKDAY(DATE(CalendarYear,12,13),1),"aaa")</f>
        <v>Sun</v>
      </c>
      <c r="O3" s="25" t="str">
        <f>TEXT(WEEKDAY(DATE(CalendarYear,12,14),1),"aaa")</f>
        <v>Mon</v>
      </c>
      <c r="P3" s="25" t="str">
        <f>TEXT(WEEKDAY(DATE(CalendarYear,12,15),1),"aaa")</f>
        <v>Tue</v>
      </c>
      <c r="Q3" s="25" t="str">
        <f>TEXT(WEEKDAY(DATE(CalendarYear,12,16),1),"aaa")</f>
        <v>Wed</v>
      </c>
      <c r="R3" s="25" t="str">
        <f>TEXT(WEEKDAY(DATE(CalendarYear,12,17),1),"aaa")</f>
        <v>Thu</v>
      </c>
      <c r="S3" s="25" t="str">
        <f>TEXT(WEEKDAY(DATE(CalendarYear,12,18),1),"aaa")</f>
        <v>Fri</v>
      </c>
      <c r="T3" s="25" t="str">
        <f>TEXT(WEEKDAY(DATE(CalendarYear,12,19),1),"aaa")</f>
        <v>Sat</v>
      </c>
      <c r="U3" s="25" t="str">
        <f>TEXT(WEEKDAY(DATE(CalendarYear,12,20),1),"aaa")</f>
        <v>Sun</v>
      </c>
      <c r="V3" s="25" t="str">
        <f>TEXT(WEEKDAY(DATE(CalendarYear,12,21),1),"aaa")</f>
        <v>Mon</v>
      </c>
      <c r="W3" s="25" t="str">
        <f>TEXT(WEEKDAY(DATE(CalendarYear,12,22),1),"aaa")</f>
        <v>Tue</v>
      </c>
      <c r="X3" s="25" t="str">
        <f>TEXT(WEEKDAY(DATE(CalendarYear,12,23),1),"aaa")</f>
        <v>Wed</v>
      </c>
      <c r="Y3" s="25" t="str">
        <f>TEXT(WEEKDAY(DATE(CalendarYear,12,24),1),"aaa")</f>
        <v>Thu</v>
      </c>
      <c r="Z3" s="25" t="str">
        <f>TEXT(WEEKDAY(DATE(CalendarYear,12,25),1),"aaa")</f>
        <v>Fri</v>
      </c>
      <c r="AA3" s="25" t="str">
        <f>TEXT(WEEKDAY(DATE(CalendarYear,12,26),1),"aaa")</f>
        <v>Sat</v>
      </c>
      <c r="AB3" s="25" t="str">
        <f>TEXT(WEEKDAY(DATE(CalendarYear,12,27),1),"aaa")</f>
        <v>Sun</v>
      </c>
      <c r="AC3" s="25" t="str">
        <f>TEXT(WEEKDAY(DATE(CalendarYear,12,28),1),"aaa")</f>
        <v>Mon</v>
      </c>
      <c r="AD3" s="25" t="str">
        <f>TEXT(WEEKDAY(DATE(CalendarYear,12,29),1),"aaa")</f>
        <v>Tue</v>
      </c>
      <c r="AE3" s="25" t="str">
        <f>TEXT(WEEKDAY(DATE(CalendarYear,12,30),1),"aaa")</f>
        <v>Wed</v>
      </c>
      <c r="AF3" s="25" t="str">
        <f>TEXT(WEEKDAY(DATE(CalendarYear,12,31),1),"aaa")</f>
        <v>Thu</v>
      </c>
      <c r="AG3" s="52"/>
    </row>
    <row r="4" spans="1:34" s="1" customFormat="1" ht="14.5" x14ac:dyDescent="0.35">
      <c r="A4" s="43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7" t="s">
        <v>9</v>
      </c>
      <c r="J4" s="37" t="s">
        <v>10</v>
      </c>
      <c r="K4" s="37" t="s">
        <v>11</v>
      </c>
      <c r="L4" s="37" t="s">
        <v>12</v>
      </c>
      <c r="M4" s="37" t="s">
        <v>13</v>
      </c>
      <c r="N4" s="37" t="s">
        <v>14</v>
      </c>
      <c r="O4" s="37" t="s">
        <v>15</v>
      </c>
      <c r="P4" s="37" t="s">
        <v>16</v>
      </c>
      <c r="Q4" s="37" t="s">
        <v>17</v>
      </c>
      <c r="R4" s="37" t="s">
        <v>18</v>
      </c>
      <c r="S4" s="37" t="s">
        <v>19</v>
      </c>
      <c r="T4" s="37" t="s">
        <v>20</v>
      </c>
      <c r="U4" s="37" t="s">
        <v>21</v>
      </c>
      <c r="V4" s="37" t="s">
        <v>22</v>
      </c>
      <c r="W4" s="37" t="s">
        <v>23</v>
      </c>
      <c r="X4" s="37" t="s">
        <v>24</v>
      </c>
      <c r="Y4" s="37" t="s">
        <v>25</v>
      </c>
      <c r="Z4" s="37" t="s">
        <v>26</v>
      </c>
      <c r="AA4" s="37" t="s">
        <v>27</v>
      </c>
      <c r="AB4" s="37" t="s">
        <v>28</v>
      </c>
      <c r="AC4" s="37" t="s">
        <v>29</v>
      </c>
      <c r="AD4" s="37" t="s">
        <v>30</v>
      </c>
      <c r="AE4" s="37" t="s">
        <v>31</v>
      </c>
      <c r="AF4" s="37" t="s">
        <v>32</v>
      </c>
      <c r="AG4" s="7" t="s">
        <v>33</v>
      </c>
      <c r="AH4" s="2"/>
    </row>
    <row r="5" spans="1:34" s="1" customFormat="1" ht="14.5" x14ac:dyDescent="0.35">
      <c r="A5" s="36" t="s">
        <v>34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11">
        <f>COUNTA(tblDecember[[#This Row],[1]:[29]])</f>
        <v>0</v>
      </c>
      <c r="AH5" s="2"/>
    </row>
    <row r="6" spans="1:34" s="1" customFormat="1" ht="14.5" x14ac:dyDescent="0.35">
      <c r="A6" s="36" t="s">
        <v>37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11">
        <f>COUNTA(tblDecember[[#This Row],[1]:[29]])</f>
        <v>0</v>
      </c>
      <c r="AH6" s="2"/>
    </row>
    <row r="7" spans="1:34" ht="15" customHeight="1" x14ac:dyDescent="0.25">
      <c r="A7" s="36" t="s">
        <v>47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11">
        <f>COUNTA(tblDecember[[#This Row],[1]:[29]])</f>
        <v>0</v>
      </c>
    </row>
    <row r="8" spans="1:34" ht="15" customHeight="1" x14ac:dyDescent="0.25">
      <c r="A8" s="36" t="s">
        <v>48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11">
        <f>COUNTA(tblDecember[[#This Row],[1]:[29]])</f>
        <v>0</v>
      </c>
    </row>
    <row r="9" spans="1:34" s="13" customFormat="1" ht="15" customHeight="1" x14ac:dyDescent="0.25">
      <c r="A9" s="36" t="s">
        <v>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11">
        <f>COUNTA(tblDecember[[#This Row],[1]:[29]])</f>
        <v>0</v>
      </c>
    </row>
    <row r="10" spans="1:34" ht="15" customHeight="1" x14ac:dyDescent="0.25">
      <c r="A10" s="46" t="str">
        <f>MonthName&amp;" Total"</f>
        <v>December Total</v>
      </c>
      <c r="B10" s="48">
        <f>SUBTOTAL(103,tblDecember[1])</f>
        <v>0</v>
      </c>
      <c r="C10" s="48">
        <f>SUBTOTAL(103,tblDecember[2])</f>
        <v>0</v>
      </c>
      <c r="D10" s="48">
        <f>SUBTOTAL(103,tblDecember[3])</f>
        <v>0</v>
      </c>
      <c r="E10" s="48">
        <f>SUBTOTAL(103,tblDecember[4])</f>
        <v>0</v>
      </c>
      <c r="F10" s="48">
        <f>SUBTOTAL(103,tblDecember[5])</f>
        <v>0</v>
      </c>
      <c r="G10" s="48">
        <f>SUBTOTAL(103,tblDecember[6])</f>
        <v>0</v>
      </c>
      <c r="H10" s="48">
        <f>SUBTOTAL(103,tblDecember[7])</f>
        <v>0</v>
      </c>
      <c r="I10" s="48">
        <f>SUBTOTAL(103,tblDecember[8])</f>
        <v>0</v>
      </c>
      <c r="J10" s="48">
        <f>SUBTOTAL(103,tblDecember[9])</f>
        <v>0</v>
      </c>
      <c r="K10" s="48">
        <f>SUBTOTAL(103,tblDecember[10])</f>
        <v>0</v>
      </c>
      <c r="L10" s="48">
        <f>SUBTOTAL(103,tblDecember[11])</f>
        <v>0</v>
      </c>
      <c r="M10" s="48">
        <f>SUBTOTAL(103,tblDecember[12])</f>
        <v>0</v>
      </c>
      <c r="N10" s="48">
        <f>SUBTOTAL(103,tblDecember[13])</f>
        <v>0</v>
      </c>
      <c r="O10" s="48">
        <f>SUBTOTAL(103,tblDecember[14])</f>
        <v>0</v>
      </c>
      <c r="P10" s="48">
        <f>SUBTOTAL(103,tblDecember[15])</f>
        <v>0</v>
      </c>
      <c r="Q10" s="48">
        <f>SUBTOTAL(103,tblDecember[16])</f>
        <v>0</v>
      </c>
      <c r="R10" s="48">
        <f>SUBTOTAL(103,tblDecember[17])</f>
        <v>0</v>
      </c>
      <c r="S10" s="48">
        <f>SUBTOTAL(103,tblDecember[18])</f>
        <v>0</v>
      </c>
      <c r="T10" s="48">
        <f>SUBTOTAL(103,tblDecember[19])</f>
        <v>0</v>
      </c>
      <c r="U10" s="48">
        <f>SUBTOTAL(103,tblDecember[20])</f>
        <v>0</v>
      </c>
      <c r="V10" s="48">
        <f>SUBTOTAL(103,tblDecember[21])</f>
        <v>0</v>
      </c>
      <c r="W10" s="48">
        <f>SUBTOTAL(103,tblDecember[22])</f>
        <v>0</v>
      </c>
      <c r="X10" s="48">
        <f>SUBTOTAL(103,tblDecember[23])</f>
        <v>0</v>
      </c>
      <c r="Y10" s="48">
        <f>SUBTOTAL(103,tblDecember[24])</f>
        <v>0</v>
      </c>
      <c r="Z10" s="48">
        <f>SUBTOTAL(103,tblDecember[25])</f>
        <v>0</v>
      </c>
      <c r="AA10" s="48">
        <f>SUBTOTAL(103,tblDecember[26])</f>
        <v>0</v>
      </c>
      <c r="AB10" s="48">
        <f>SUBTOTAL(103,tblDecember[27])</f>
        <v>0</v>
      </c>
      <c r="AC10" s="48">
        <f>SUBTOTAL(103,tblDecember[28])</f>
        <v>0</v>
      </c>
      <c r="AD10" s="48">
        <f>SUBTOTAL(103,tblDecember[29])</f>
        <v>0</v>
      </c>
      <c r="AE10" s="48"/>
      <c r="AF10" s="48"/>
      <c r="AG10" s="11">
        <f>SUBTOTAL(109,tblDecember[Total Days])</f>
        <v>0</v>
      </c>
    </row>
    <row r="11" spans="1:34" ht="15" customHeight="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</row>
    <row r="12" spans="1:34" ht="15" customHeight="1" x14ac:dyDescent="0.35">
      <c r="A12"/>
      <c r="B12" s="44" t="str">
        <f>January!B13</f>
        <v>Color Key</v>
      </c>
      <c r="C12" s="44"/>
      <c r="D12" s="44"/>
      <c r="E12" s="44"/>
      <c r="F12" s="45"/>
      <c r="G12" s="23" t="str">
        <f>KeyVacation</f>
        <v>V</v>
      </c>
      <c r="H12" s="33" t="str">
        <f>KeyVacationLabel</f>
        <v>Vacation</v>
      </c>
      <c r="I12" s="34"/>
      <c r="J12" s="34"/>
      <c r="K12" s="19" t="str">
        <f>KeyPersonal</f>
        <v>P</v>
      </c>
      <c r="L12" s="33" t="str">
        <f>KeyPersonalLabel</f>
        <v>Personal</v>
      </c>
      <c r="M12" s="34"/>
      <c r="N12" s="34"/>
      <c r="O12" s="20" t="str">
        <f>KeySick</f>
        <v>S</v>
      </c>
      <c r="P12" s="33" t="str">
        <f>KeySickLabel</f>
        <v>Sick</v>
      </c>
      <c r="Q12" s="34"/>
      <c r="R12" s="34"/>
      <c r="S12" s="21" t="str">
        <f>KeyCustom1</f>
        <v>J</v>
      </c>
      <c r="T12" s="33" t="str">
        <f>KeyCustom1Label</f>
        <v>Jury Duty</v>
      </c>
      <c r="U12" s="35"/>
      <c r="V12" s="34"/>
      <c r="W12" s="22" t="str">
        <f>KeyCustom2</f>
        <v>B</v>
      </c>
      <c r="X12" s="33" t="str">
        <f>KeyCustom2Label</f>
        <v>Bereavement</v>
      </c>
      <c r="Y12" s="34"/>
      <c r="Z12" s="35"/>
    </row>
  </sheetData>
  <mergeCells count="4">
    <mergeCell ref="A2:A3"/>
    <mergeCell ref="B2:AF2"/>
    <mergeCell ref="AG2:AG3"/>
    <mergeCell ref="A11:AG11"/>
  </mergeCells>
  <conditionalFormatting sqref="B5:AF9">
    <cfRule type="expression" priority="1" stopIfTrue="1">
      <formula>B5=""</formula>
    </cfRule>
    <cfRule type="expression" dxfId="134" priority="2" stopIfTrue="1">
      <formula>B5=KeyCustom2</formula>
    </cfRule>
    <cfRule type="expression" dxfId="133" priority="3" stopIfTrue="1">
      <formula>B5=KeyCustom1</formula>
    </cfRule>
    <cfRule type="expression" dxfId="132" priority="4" stopIfTrue="1">
      <formula>B5=KeySick</formula>
    </cfRule>
    <cfRule type="expression" dxfId="131" priority="5" stopIfTrue="1">
      <formula>B5=KeyPersonal</formula>
    </cfRule>
    <cfRule type="expression" dxfId="130" priority="6" stopIfTrue="1">
      <formula>B5=KeyVacation</formula>
    </cfRule>
  </conditionalFormatting>
  <conditionalFormatting sqref="AG5:AG9">
    <cfRule type="dataBar" priority="30">
      <dataBar>
        <cfvo type="min"/>
        <cfvo type="formula" val="DATEDIF(DATE(CalendarYear,2,1),DATE(CalendarYear,3,1),&quot;d&quot;)"/>
        <color theme="9" tint="-0.749992370372631"/>
      </dataBar>
      <extLst>
        <ext xmlns:x14="http://schemas.microsoft.com/office/spreadsheetml/2009/9/main" uri="{B025F937-C7B1-47D3-B67F-A62EFF666E3E}">
          <x14:id>{17586780-365B-4F4C-BBB4-F5991705D361}</x14:id>
        </ext>
      </extLst>
    </cfRule>
  </conditionalFormatting>
  <pageMargins left="0.25" right="0.25" top="0.75" bottom="0.75" header="0.3" footer="0.3"/>
  <pageSetup scale="80" fitToHeight="0" orientation="landscape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86780-365B-4F4C-BBB4-F5991705D361}">
            <x14:dataBar minLength="0" maxLength="100">
              <x14:cfvo type="autoMin"/>
              <x14:cfvo type="formula">
                <xm:f>DATEDIF(DATE(CalendarYear,2,1),DATE(CalendarYear,3,1),"d")</xm:f>
              </x14:cfvo>
              <x14:negativeFillColor rgb="FFFF0000"/>
              <x14:axisColor rgb="FF000000"/>
            </x14:dataBar>
          </x14:cfRule>
          <xm:sqref>AG5:AG9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D2B7C6AD-4757-4354-B044-7DF1C9BC9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23</vt:i4>
      </vt:variant>
    </vt:vector>
  </HeadingPairs>
  <TitlesOfParts>
    <vt:vector size="36" baseType="lpstr">
      <vt:lpstr>Sheet1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CalendarYear</vt:lpstr>
      <vt:lpstr>KeyCustom1</vt:lpstr>
      <vt:lpstr>KeyCustom1Label</vt:lpstr>
      <vt:lpstr>KeyCustom2</vt:lpstr>
      <vt:lpstr>KeyCustom2Label</vt:lpstr>
      <vt:lpstr>KeyPersonal</vt:lpstr>
      <vt:lpstr>KeyPersonalLabel</vt:lpstr>
      <vt:lpstr>KeySick</vt:lpstr>
      <vt:lpstr>KeySickLabel</vt:lpstr>
      <vt:lpstr>KeyVacation</vt:lpstr>
      <vt:lpstr>KeyVacationLabel</vt:lpstr>
      <vt:lpstr>April!MonthName</vt:lpstr>
      <vt:lpstr>August!MonthName</vt:lpstr>
      <vt:lpstr>December!MonthName</vt:lpstr>
      <vt:lpstr>February!MonthName</vt:lpstr>
      <vt:lpstr>January!MonthName</vt:lpstr>
      <vt:lpstr>July!MonthName</vt:lpstr>
      <vt:lpstr>June!MonthName</vt:lpstr>
      <vt:lpstr>March!MonthName</vt:lpstr>
      <vt:lpstr>May!MonthName</vt:lpstr>
      <vt:lpstr>November!MonthName</vt:lpstr>
      <vt:lpstr>October!MonthName</vt:lpstr>
      <vt:lpstr>September!MonthName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Windows User</dc:creator>
  <cp:keywords/>
  <cp:lastModifiedBy>Greatman Justus. Unye-Awaji</cp:lastModifiedBy>
  <dcterms:created xsi:type="dcterms:W3CDTF">2014-09-05T15:01:32Z</dcterms:created>
  <dcterms:modified xsi:type="dcterms:W3CDTF">2025-12-25T16:34:57Z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TC039871679991</vt:lpwstr>
  </property>
</Properties>
</file>