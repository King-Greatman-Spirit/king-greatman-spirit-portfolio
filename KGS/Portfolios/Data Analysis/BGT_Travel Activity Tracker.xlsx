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bgt-srv4-2k19\Users_data\ICT MS\Greatman.U\Pictures\KGS\Portfolios\Data Analysis\"/>
    </mc:Choice>
  </mc:AlternateContent>
  <bookViews>
    <workbookView xWindow="0" yWindow="0" windowWidth="19200" windowHeight="6930" tabRatio="686" firstSheet="1" activeTab="2"/>
  </bookViews>
  <sheets>
    <sheet name="Sheet1" sheetId="16" state="hidden" r:id="rId1"/>
    <sheet name="DAILY" sheetId="4" r:id="rId2"/>
    <sheet name="MONTHLY" sheetId="17" r:id="rId3"/>
  </sheets>
  <definedNames>
    <definedName name="CalendarYear">DAILY!$AG$3</definedName>
    <definedName name="JANUARY">DAILY!$A$3</definedName>
    <definedName name="KeyCustom1">DAILY!$S$13</definedName>
    <definedName name="KeyCustom1Label">DAILY!$T$13</definedName>
    <definedName name="KeyCustom2">DAILY!$W$13</definedName>
    <definedName name="KeyCustom2Label">DAILY!$X$13</definedName>
    <definedName name="KeyPersonal">DAILY!$K$13</definedName>
    <definedName name="KeyPersonalLabel">DAILY!$L$13</definedName>
    <definedName name="KeySick">DAILY!$O$13</definedName>
    <definedName name="KeySickLabel">DAILY!$P$13</definedName>
    <definedName name="KeyVacation">DAILY!$G$13</definedName>
    <definedName name="KeyVacationLabel">DAILY!$H$13</definedName>
    <definedName name="MonthName" localSheetId="1">DAILY!$A$3</definedName>
    <definedName name="MonthName" localSheetId="2">MONTHLY!$A$3</definedName>
  </definedNames>
  <calcPr calcId="162913"/>
</workbook>
</file>

<file path=xl/calcChain.xml><?xml version="1.0" encoding="utf-8"?>
<calcChain xmlns="http://schemas.openxmlformats.org/spreadsheetml/2006/main">
  <c r="N24" i="17" l="1"/>
  <c r="M23" i="17"/>
  <c r="L23" i="17"/>
  <c r="K23" i="17"/>
  <c r="J23" i="17"/>
  <c r="I23" i="17"/>
  <c r="H23" i="17"/>
  <c r="G23" i="17"/>
  <c r="F23" i="17"/>
  <c r="E23" i="17"/>
  <c r="D23" i="17"/>
  <c r="C23" i="17"/>
  <c r="B23" i="17"/>
  <c r="N22" i="17"/>
  <c r="N21" i="17"/>
  <c r="N20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N23" i="17" l="1"/>
  <c r="A198" i="4"/>
  <c r="A181" i="4"/>
  <c r="A164" i="4"/>
  <c r="A147" i="4"/>
  <c r="A130" i="4"/>
  <c r="A113" i="4"/>
  <c r="A96" i="4"/>
  <c r="A79" i="4"/>
  <c r="A62" i="4"/>
  <c r="A45" i="4"/>
  <c r="A28" i="4"/>
  <c r="A11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AG197" i="4"/>
  <c r="AG196" i="4"/>
  <c r="AG195" i="4"/>
  <c r="AG194" i="4"/>
  <c r="AG193" i="4"/>
  <c r="AG198" i="4" s="1"/>
  <c r="AF191" i="4"/>
  <c r="AE191" i="4"/>
  <c r="AD191" i="4"/>
  <c r="AC191" i="4"/>
  <c r="AB191" i="4"/>
  <c r="AA191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AG180" i="4"/>
  <c r="AG179" i="4"/>
  <c r="AG178" i="4"/>
  <c r="AG177" i="4"/>
  <c r="AG176" i="4"/>
  <c r="AG181" i="4" s="1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AG163" i="4"/>
  <c r="AG162" i="4"/>
  <c r="AG161" i="4"/>
  <c r="AG160" i="4"/>
  <c r="AG159" i="4"/>
  <c r="AG164" i="4" s="1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AG146" i="4"/>
  <c r="AG145" i="4"/>
  <c r="AG144" i="4"/>
  <c r="AG143" i="4"/>
  <c r="AG142" i="4"/>
  <c r="AG147" i="4" s="1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AG129" i="4"/>
  <c r="AG128" i="4"/>
  <c r="AG127" i="4"/>
  <c r="AG126" i="4"/>
  <c r="AG125" i="4"/>
  <c r="AG130" i="4" s="1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AG112" i="4"/>
  <c r="AG111" i="4"/>
  <c r="AG110" i="4"/>
  <c r="AG109" i="4"/>
  <c r="AG113" i="4" s="1"/>
  <c r="AG108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G95" i="4"/>
  <c r="AG94" i="4"/>
  <c r="AG93" i="4"/>
  <c r="AG92" i="4"/>
  <c r="AG91" i="4"/>
  <c r="AG96" i="4" s="1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G78" i="4"/>
  <c r="AG77" i="4"/>
  <c r="AG76" i="4"/>
  <c r="AG75" i="4"/>
  <c r="AG74" i="4"/>
  <c r="AG79" i="4" s="1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G61" i="4"/>
  <c r="AG60" i="4"/>
  <c r="AG59" i="4"/>
  <c r="AG58" i="4"/>
  <c r="AG57" i="4"/>
  <c r="AG62" i="4" s="1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G44" i="4"/>
  <c r="AG43" i="4"/>
  <c r="AG42" i="4"/>
  <c r="AG41" i="4"/>
  <c r="AG40" i="4"/>
  <c r="AG45" i="4" s="1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G27" i="4"/>
  <c r="AG26" i="4"/>
  <c r="AG25" i="4"/>
  <c r="AG24" i="4"/>
  <c r="AG23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G6" i="4"/>
  <c r="I9" i="17"/>
  <c r="AG11" i="4"/>
  <c r="AG28" i="4" l="1"/>
  <c r="AG9" i="4"/>
  <c r="N6" i="17" l="1"/>
  <c r="N7" i="17"/>
  <c r="N8" i="17"/>
  <c r="AG7" i="4"/>
  <c r="AG8" i="4"/>
  <c r="G9" i="17"/>
  <c r="C9" i="17"/>
  <c r="B9" i="17"/>
  <c r="B4" i="17"/>
  <c r="C4" i="17"/>
  <c r="D4" i="17"/>
  <c r="E4" i="17"/>
  <c r="F4" i="17"/>
  <c r="G4" i="17"/>
  <c r="H4" i="17"/>
  <c r="I4" i="17"/>
  <c r="J4" i="17"/>
  <c r="K4" i="17"/>
  <c r="L4" i="17"/>
  <c r="M4" i="17"/>
  <c r="D9" i="17"/>
  <c r="E9" i="17"/>
  <c r="F9" i="17"/>
  <c r="H9" i="17"/>
  <c r="J9" i="17"/>
  <c r="K9" i="17"/>
  <c r="L9" i="17"/>
  <c r="M9" i="17"/>
  <c r="B4" i="4"/>
  <c r="C4" i="4"/>
  <c r="D4" i="4"/>
  <c r="E4" i="4"/>
  <c r="F4" i="4"/>
  <c r="G4" i="4"/>
  <c r="H4" i="4"/>
  <c r="I4" i="4"/>
  <c r="J4" i="4"/>
  <c r="K4" i="4"/>
  <c r="L4" i="4"/>
  <c r="M4" i="4"/>
  <c r="AG10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N9" i="17" l="1"/>
  <c r="N10" i="17"/>
  <c r="M11" i="4" l="1"/>
  <c r="L11" i="4"/>
  <c r="K11" i="4"/>
  <c r="J11" i="4"/>
  <c r="I11" i="4"/>
  <c r="H11" i="4"/>
  <c r="G11" i="4"/>
  <c r="F11" i="4"/>
  <c r="E11" i="4"/>
  <c r="D11" i="4"/>
  <c r="C11" i="4"/>
  <c r="B11" i="4"/>
  <c r="D5" i="16"/>
</calcChain>
</file>

<file path=xl/comments1.xml><?xml version="1.0" encoding="utf-8"?>
<comments xmlns="http://schemas.openxmlformats.org/spreadsheetml/2006/main">
  <authors>
    <author>Greatman Justus. Unye-Awaji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Greatman Justus. Unye-Awaji: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Greatman Justus. Unye-Awaji: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>Greatman Justus. Unye-Awaji: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>Greatman Justus. Unye-Awaji: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1" authorId="0" shapeId="0">
      <text>
        <r>
          <rPr>
            <b/>
            <sz val="9"/>
            <color indexed="81"/>
            <rFont val="Tahoma"/>
            <family val="2"/>
          </rPr>
          <t>Greatman Justus. Unye-Awaji: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8" authorId="0" shapeId="0">
      <text>
        <r>
          <rPr>
            <b/>
            <sz val="9"/>
            <color indexed="81"/>
            <rFont val="Tahoma"/>
            <family val="2"/>
          </rPr>
          <t>Greatman Justus. Unye-Awaji: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5" authorId="0" shapeId="0">
      <text>
        <r>
          <rPr>
            <b/>
            <sz val="9"/>
            <color indexed="81"/>
            <rFont val="Tahoma"/>
            <family val="2"/>
          </rPr>
          <t>Greatman Justus. Unye-Awaji: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>Greatman Justus. Unye-Awaji: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9" authorId="0" shapeId="0">
      <text>
        <r>
          <rPr>
            <b/>
            <sz val="9"/>
            <color indexed="81"/>
            <rFont val="Tahoma"/>
            <family val="2"/>
          </rPr>
          <t>Greatman Justus. Unye-Awaji: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6" authorId="0" shapeId="0">
      <text>
        <r>
          <rPr>
            <b/>
            <sz val="9"/>
            <color indexed="81"/>
            <rFont val="Tahoma"/>
            <family val="2"/>
          </rPr>
          <t>Greatman Justus. Unye-Awaji: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3" authorId="0" shapeId="0">
      <text>
        <r>
          <rPr>
            <b/>
            <sz val="9"/>
            <color indexed="81"/>
            <rFont val="Tahoma"/>
            <family val="2"/>
          </rPr>
          <t>Greatman Justus. Unye-Awaji: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90" authorId="0" shapeId="0">
      <text>
        <r>
          <rPr>
            <b/>
            <sz val="9"/>
            <color indexed="81"/>
            <rFont val="Tahoma"/>
            <family val="2"/>
          </rPr>
          <t>Greatman Justus. Unye-Awaji: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Greatman Justus. Unye-Awaji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Greatman Justus. Unye-Awaji: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>Greatman Justus. Unye-Awaji: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<sst xmlns="http://schemas.openxmlformats.org/spreadsheetml/2006/main" count="738" uniqueCount="88">
  <si>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</si>
  <si>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</si>
  <si>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</si>
  <si>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</si>
  <si>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</si>
  <si>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</si>
  <si>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</si>
  <si>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</si>
  <si>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</si>
  <si>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</si>
  <si>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</si>
  <si>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</si>
  <si>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</si>
  <si>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</si>
  <si>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</si>
  <si>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</si>
  <si>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</si>
  <si>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</si>
  <si>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</si>
  <si>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</si>
  <si>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</si>
  <si>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</si>
  <si>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</si>
  <si>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</si>
  <si>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</si>
  <si>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</si>
  <si>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</si>
  <si>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</si>
  <si>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</si>
  <si>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</si>
  <si>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</si>
  <si>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Color Key</t>
  </si>
  <si>
    <t>Vacation Days</t>
  </si>
  <si>
    <t>Working Days</t>
  </si>
  <si>
    <t>Absent Rate %</t>
  </si>
  <si>
    <t>All Months</t>
  </si>
  <si>
    <t>Quick Summary</t>
  </si>
  <si>
    <t>👤 Executive Name</t>
  </si>
  <si>
    <t>📆 Daily Travel Log (Presence / Travel)</t>
  </si>
  <si>
    <t>🌍 Nigeria (N)</t>
  </si>
  <si>
    <t>✈️ U.S.A (U)</t>
  </si>
  <si>
    <t>🇬🇧 U.K. (UK)</t>
  </si>
  <si>
    <t>UK</t>
  </si>
  <si>
    <t>🌐  Others</t>
  </si>
  <si>
    <t>O</t>
  </si>
  <si>
    <t>PL</t>
  </si>
  <si>
    <r>
      <rPr>
        <sz val="11"/>
        <color rgb="FFFF0000"/>
        <rFont val="Calibri"/>
        <family val="2"/>
        <scheme val="minor"/>
      </rPr>
      <t>⛔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Unavailable - Personal Leave (PL)</t>
    </r>
  </si>
  <si>
    <t>Total Days Traveled</t>
  </si>
  <si>
    <t>📆 Monthly Travel Log (Presence / Travel)</t>
  </si>
  <si>
    <t>Veronica Obodo</t>
  </si>
  <si>
    <t>🌐  Others (Any other Countries)</t>
  </si>
  <si>
    <t>US</t>
  </si>
  <si>
    <t>NG</t>
  </si>
  <si>
    <t>👤 Name</t>
  </si>
  <si>
    <t>✨ Travel Activity Tracker – BG Technical Ltd.</t>
  </si>
  <si>
    <t>Reginald Ibezim</t>
  </si>
  <si>
    <t>Yaya Adebisi</t>
  </si>
  <si>
    <t xml:space="preserve">Stewart Logan </t>
  </si>
  <si>
    <t>Osilama Omoka</t>
  </si>
  <si>
    <t>January Summary</t>
  </si>
  <si>
    <t>Vivian Okeya</t>
  </si>
  <si>
    <t>Jude Nworgu</t>
  </si>
  <si>
    <t>Udoka Onuoha</t>
  </si>
  <si>
    <t>Monthly Summary Total</t>
  </si>
  <si>
    <t>March Summary</t>
  </si>
  <si>
    <t>April Summary</t>
  </si>
  <si>
    <t>May Summary</t>
  </si>
  <si>
    <t>June Summary</t>
  </si>
  <si>
    <t>July Summary</t>
  </si>
  <si>
    <t>August Summary</t>
  </si>
  <si>
    <t>September Summary</t>
  </si>
  <si>
    <t>October Summary</t>
  </si>
  <si>
    <t>November Summary</t>
  </si>
  <si>
    <t>December Summary</t>
  </si>
  <si>
    <t>February Summary</t>
  </si>
  <si>
    <t xml:space="preserve">      ✨ Travel Activity Tracker – BG Technical Ltd.</t>
  </si>
  <si>
    <t>ng</t>
  </si>
  <si>
    <t>CAD</t>
  </si>
  <si>
    <t>Canada (Cad)</t>
  </si>
  <si>
    <t>uk</t>
  </si>
  <si>
    <t>Bimpe Amadi</t>
  </si>
  <si>
    <t>Faith Rufus</t>
  </si>
  <si>
    <t>James Odinaka</t>
  </si>
  <si>
    <t>Daniel Ibeh</t>
  </si>
  <si>
    <t>Yusuf Ibrahim</t>
  </si>
  <si>
    <t>Vera Chibuike</t>
  </si>
  <si>
    <t>Lucky Ogbonna</t>
  </si>
  <si>
    <t>Billy Stoneway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</si>
</sst>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0;"/>
  </numFmts>
  <fonts count="32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ajor"/>
    </font>
    <font>
      <b/>
      <sz val="26"/>
      <color theme="3"/>
      <name val="Calibri"/>
      <family val="2"/>
      <scheme val="major"/>
    </font>
    <font>
      <sz val="18"/>
      <color theme="3"/>
      <name val="Calibri"/>
      <family val="2"/>
      <scheme val="minor"/>
    </font>
    <font>
      <sz val="11"/>
      <color theme="1"/>
      <name val="Calibri"/>
      <family val="2"/>
      <scheme val="major"/>
    </font>
    <font>
      <sz val="10"/>
      <name val="Calibri"/>
      <family val="2"/>
      <scheme val="major"/>
    </font>
    <font>
      <b/>
      <sz val="11"/>
      <name val="Calibri"/>
      <family val="2"/>
      <scheme val="minor"/>
    </font>
    <font>
      <b/>
      <sz val="26"/>
      <color theme="9" tint="-0.499984740745262"/>
      <name val="Calibri"/>
      <family val="2"/>
      <scheme val="maj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rgb="FF0070C0"/>
      <name val="Calibri"/>
      <family val="2"/>
      <scheme val="major"/>
    </font>
    <font>
      <b/>
      <sz val="11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6"/>
      <color theme="0"/>
      <name val="Calibri"/>
      <family val="2"/>
    </font>
    <font>
      <b/>
      <sz val="9"/>
      <color theme="0"/>
      <name val="Calibri"/>
      <family val="2"/>
      <scheme val="minor"/>
    </font>
    <font>
      <b/>
      <sz val="10"/>
      <color rgb="FF0070C0"/>
      <name val="Century Gothic"/>
      <family val="2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scheme val="minor"/>
    </font>
    <font>
      <b/>
      <sz val="11"/>
      <name val="Calibri"/>
      <scheme val="minor"/>
    </font>
    <font>
      <b/>
      <sz val="11"/>
      <color theme="0"/>
      <name val="Calibri"/>
      <scheme val="minor"/>
    </font>
    <font>
      <b/>
      <sz val="12"/>
      <color rgb="FF0070C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/>
      </left>
      <right style="thin">
        <color theme="0"/>
      </right>
      <top/>
      <bottom style="medium">
        <color theme="2" tint="-0.499984740745262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medium">
        <color theme="2" tint="-0.499984740745262"/>
      </bottom>
      <diagonal/>
    </border>
    <border>
      <left/>
      <right style="thin">
        <color theme="0"/>
      </right>
      <top/>
      <bottom style="medium">
        <color theme="2" tint="-0.499984740745262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indent="2"/>
    </xf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/>
    <xf numFmtId="164" fontId="6" fillId="3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64" fontId="0" fillId="7" borderId="0" xfId="0" applyNumberFormat="1" applyFill="1" applyAlignment="1">
      <alignment horizontal="left" vertical="center"/>
    </xf>
    <xf numFmtId="0" fontId="1" fillId="7" borderId="0" xfId="0" applyFont="1" applyFill="1" applyAlignment="1">
      <alignment vertical="center"/>
    </xf>
    <xf numFmtId="164" fontId="0" fillId="7" borderId="0" xfId="0" applyNumberForma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1" fillId="10" borderId="2" xfId="0" applyFont="1" applyFill="1" applyBorder="1" applyAlignment="1">
      <alignment horizontal="center"/>
    </xf>
    <xf numFmtId="0" fontId="21" fillId="10" borderId="1" xfId="0" applyFont="1" applyFill="1" applyBorder="1" applyAlignment="1">
      <alignment horizontal="center"/>
    </xf>
    <xf numFmtId="0" fontId="21" fillId="10" borderId="3" xfId="0" applyFont="1" applyFill="1" applyBorder="1" applyAlignment="1">
      <alignment horizontal="center"/>
    </xf>
    <xf numFmtId="0" fontId="13" fillId="10" borderId="4" xfId="0" applyFont="1" applyFill="1" applyBorder="1" applyAlignment="1">
      <alignment horizontal="center" vertical="center"/>
    </xf>
    <xf numFmtId="0" fontId="16" fillId="0" borderId="0" xfId="0" applyFont="1"/>
    <xf numFmtId="164" fontId="6" fillId="10" borderId="0" xfId="0" applyNumberFormat="1" applyFont="1" applyFill="1" applyAlignment="1">
      <alignment horizontal="center" vertical="center"/>
    </xf>
    <xf numFmtId="164" fontId="18" fillId="7" borderId="0" xfId="0" applyNumberFormat="1" applyFont="1" applyFill="1" applyAlignment="1">
      <alignment horizontal="left" vertical="center"/>
    </xf>
    <xf numFmtId="164" fontId="18" fillId="7" borderId="0" xfId="0" applyNumberFormat="1" applyFont="1" applyFill="1" applyAlignment="1">
      <alignment horizontal="center" vertical="center"/>
    </xf>
    <xf numFmtId="0" fontId="22" fillId="7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3" fillId="10" borderId="6" xfId="0" applyFont="1" applyFill="1" applyBorder="1" applyAlignment="1">
      <alignment vertical="center"/>
    </xf>
    <xf numFmtId="0" fontId="23" fillId="10" borderId="7" xfId="0" applyFont="1" applyFill="1" applyBorder="1" applyAlignment="1">
      <alignment vertical="center"/>
    </xf>
    <xf numFmtId="0" fontId="24" fillId="10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5" fillId="8" borderId="0" xfId="0" applyNumberFormat="1" applyFont="1" applyFill="1" applyAlignment="1">
      <alignment horizontal="left" vertical="center" indent="1"/>
    </xf>
    <xf numFmtId="49" fontId="19" fillId="0" borderId="0" xfId="0" applyNumberFormat="1" applyFont="1" applyAlignment="1">
      <alignment horizontal="center" vertical="center"/>
    </xf>
    <xf numFmtId="49" fontId="28" fillId="8" borderId="0" xfId="0" applyNumberFormat="1" applyFont="1" applyFill="1" applyAlignment="1">
      <alignment horizontal="left" vertical="center" indent="1"/>
    </xf>
    <xf numFmtId="0" fontId="29" fillId="8" borderId="0" xfId="0" applyFont="1" applyFill="1" applyAlignment="1">
      <alignment horizontal="center" vertical="center"/>
    </xf>
    <xf numFmtId="164" fontId="30" fillId="10" borderId="0" xfId="0" applyNumberFormat="1" applyFont="1" applyFill="1" applyAlignment="1">
      <alignment horizontal="center" vertical="center"/>
    </xf>
    <xf numFmtId="49" fontId="14" fillId="11" borderId="0" xfId="1" applyNumberFormat="1" applyFont="1" applyFill="1" applyBorder="1" applyAlignment="1">
      <alignment vertical="top"/>
    </xf>
    <xf numFmtId="0" fontId="11" fillId="11" borderId="0" xfId="0" applyFont="1" applyFill="1" applyBorder="1" applyAlignment="1">
      <alignment vertical="top"/>
    </xf>
    <xf numFmtId="0" fontId="12" fillId="11" borderId="0" xfId="0" applyFont="1" applyFill="1" applyBorder="1" applyAlignment="1">
      <alignment vertical="center"/>
    </xf>
    <xf numFmtId="0" fontId="11" fillId="11" borderId="0" xfId="0" applyFont="1" applyFill="1" applyAlignment="1">
      <alignment vertical="top"/>
    </xf>
    <xf numFmtId="0" fontId="11" fillId="11" borderId="0" xfId="0" applyFont="1" applyFill="1"/>
    <xf numFmtId="0" fontId="12" fillId="11" borderId="0" xfId="0" applyFont="1" applyFill="1" applyAlignment="1">
      <alignment vertical="center"/>
    </xf>
    <xf numFmtId="0" fontId="0" fillId="11" borderId="0" xfId="0" applyFill="1"/>
    <xf numFmtId="0" fontId="0" fillId="11" borderId="0" xfId="0" applyFill="1" applyBorder="1"/>
    <xf numFmtId="0" fontId="13" fillId="8" borderId="9" xfId="0" applyFont="1" applyFill="1" applyBorder="1" applyAlignment="1">
      <alignment horizontal="center" vertical="center"/>
    </xf>
    <xf numFmtId="0" fontId="0" fillId="7" borderId="0" xfId="0" applyFill="1"/>
    <xf numFmtId="164" fontId="6" fillId="7" borderId="0" xfId="0" applyNumberFormat="1" applyFont="1" applyFill="1" applyAlignment="1">
      <alignment horizontal="center" vertical="center"/>
    </xf>
    <xf numFmtId="0" fontId="23" fillId="10" borderId="2" xfId="0" applyFont="1" applyFill="1" applyBorder="1" applyAlignment="1">
      <alignment horizontal="center"/>
    </xf>
    <xf numFmtId="0" fontId="23" fillId="10" borderId="0" xfId="0" applyFont="1" applyFill="1" applyBorder="1" applyAlignment="1">
      <alignment horizontal="center"/>
    </xf>
    <xf numFmtId="0" fontId="2" fillId="11" borderId="0" xfId="0" applyFont="1" applyFill="1" applyBorder="1" applyAlignment="1">
      <alignment vertical="center"/>
    </xf>
    <xf numFmtId="0" fontId="3" fillId="11" borderId="0" xfId="0" applyFont="1" applyFill="1" applyBorder="1"/>
    <xf numFmtId="0" fontId="3" fillId="11" borderId="0" xfId="0" applyFont="1" applyFill="1" applyBorder="1" applyAlignment="1">
      <alignment vertical="center"/>
    </xf>
    <xf numFmtId="0" fontId="1" fillId="11" borderId="0" xfId="0" applyFont="1" applyFill="1" applyBorder="1" applyAlignment="1">
      <alignment vertical="center"/>
    </xf>
    <xf numFmtId="0" fontId="1" fillId="11" borderId="0" xfId="0" applyFont="1" applyFill="1" applyBorder="1"/>
    <xf numFmtId="0" fontId="0" fillId="0" borderId="0" xfId="0" applyFill="1" applyAlignment="1">
      <alignment horizontal="center" vertical="center"/>
    </xf>
    <xf numFmtId="164" fontId="30" fillId="11" borderId="0" xfId="0" applyNumberFormat="1" applyFont="1" applyFill="1" applyAlignment="1">
      <alignment horizontal="center" vertical="center"/>
    </xf>
    <xf numFmtId="164" fontId="6" fillId="10" borderId="11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8" fillId="7" borderId="0" xfId="0" applyNumberFormat="1" applyFont="1" applyFill="1" applyAlignment="1">
      <alignment horizontal="left" vertical="center"/>
    </xf>
    <xf numFmtId="0" fontId="1" fillId="7" borderId="0" xfId="0" applyFont="1" applyFill="1" applyAlignment="1">
      <alignment horizontal="center"/>
    </xf>
    <xf numFmtId="0" fontId="25" fillId="8" borderId="0" xfId="0" applyNumberFormat="1" applyFont="1" applyFill="1" applyAlignment="1" applyProtection="1">
      <alignment horizontal="center" vertical="center"/>
    </xf>
    <xf numFmtId="0" fontId="19" fillId="0" borderId="0" xfId="0" applyNumberFormat="1" applyFont="1" applyAlignment="1" applyProtection="1">
      <alignment horizontal="center" vertical="center"/>
    </xf>
    <xf numFmtId="0" fontId="31" fillId="0" borderId="0" xfId="0" applyNumberFormat="1" applyFont="1" applyFill="1" applyAlignment="1" applyProtection="1">
      <alignment horizontal="center" vertical="center"/>
    </xf>
    <xf numFmtId="0" fontId="14" fillId="0" borderId="0" xfId="1" applyNumberFormat="1" applyFont="1" applyFill="1" applyBorder="1" applyAlignment="1">
      <alignment horizontal="center" vertical="top"/>
    </xf>
    <xf numFmtId="0" fontId="28" fillId="8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64" fontId="18" fillId="7" borderId="0" xfId="0" applyNumberFormat="1" applyFont="1" applyFill="1" applyAlignment="1">
      <alignment horizontal="left" vertical="center"/>
    </xf>
    <xf numFmtId="0" fontId="17" fillId="0" borderId="0" xfId="1" applyNumberFormat="1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20" fillId="9" borderId="5" xfId="0" applyNumberFormat="1" applyFont="1" applyFill="1" applyBorder="1" applyAlignment="1">
      <alignment horizontal="center" vertical="center"/>
    </xf>
    <xf numFmtId="0" fontId="20" fillId="9" borderId="0" xfId="0" applyNumberFormat="1" applyFont="1" applyFill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0" xfId="0" applyFont="1" applyFill="1" applyBorder="1" applyAlignment="1">
      <alignment horizontal="center" vertical="center"/>
    </xf>
    <xf numFmtId="0" fontId="20" fillId="9" borderId="0" xfId="0" applyNumberFormat="1" applyFont="1" applyFill="1" applyBorder="1" applyAlignment="1">
      <alignment horizontal="center" vertical="center"/>
    </xf>
    <xf numFmtId="0" fontId="23" fillId="10" borderId="0" xfId="0" applyFont="1" applyFill="1" applyBorder="1" applyAlignment="1">
      <alignment vertical="center"/>
    </xf>
    <xf numFmtId="164" fontId="18" fillId="7" borderId="0" xfId="0" applyNumberFormat="1" applyFont="1" applyFill="1" applyAlignment="1">
      <alignment horizontal="left" vertical="center"/>
    </xf>
    <xf numFmtId="164" fontId="18" fillId="7" borderId="8" xfId="0" applyNumberFormat="1" applyFont="1" applyFill="1" applyBorder="1" applyAlignment="1">
      <alignment horizontal="left" vertical="center"/>
    </xf>
    <xf numFmtId="49" fontId="17" fillId="11" borderId="0" xfId="1" applyNumberFormat="1" applyFont="1" applyFill="1" applyBorder="1" applyAlignment="1">
      <alignment vertical="top"/>
    </xf>
  </cellXfs>
  <cellStyles count="5"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/>
    <cellStyle name="Title" xfId="1" builtinId="15" customBuiltin="1"/>
  </cellStyles>
  <dxfs count="103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1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;0;"/>
      <fill>
        <patternFill patternType="solid">
          <fgColor indexed="64"/>
          <bgColor theme="8" tint="0.3999755851924192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70C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alignment vertical="center" textRotation="0" wrapText="0" indent="0" justifyLastLine="0" shrinkToFit="0" readingOrder="0"/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ill>
        <patternFill patternType="none">
          <bgColor auto="1"/>
        </patternFill>
      </fill>
      <border diagonalUp="0" diagonalDown="0">
        <left/>
        <right/>
        <top style="thin">
          <color theme="0" tint="-0.14996795556505021"/>
        </top>
        <bottom style="medium">
          <color theme="2" tint="-0.499984740745262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 style="thin">
          <color theme="0" tint="-0.14993743705557422"/>
        </top>
        <bottom style="thin">
          <color theme="0" tint="-0.14996795556505021"/>
        </bottom>
        <vertical/>
        <horizontal style="thin">
          <color theme="0" tint="-0.14993743705557422"/>
        </horizontal>
      </border>
    </dxf>
    <dxf>
      <font>
        <color theme="1"/>
      </font>
      <fill>
        <patternFill patternType="solid">
          <bgColor theme="2"/>
        </patternFill>
      </fill>
      <border diagonalUp="0" diagonalDown="0">
        <left/>
        <right/>
        <top/>
        <bottom style="thin">
          <color theme="0" tint="-0.14996795556505021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 style="thin">
          <color theme="0" tint="-0.14996795556505021"/>
        </top>
        <bottom style="thin">
          <color theme="0" tint="-0.14993743705557422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ill>
        <patternFill>
          <bgColor theme="0" tint="-4.9989318521683403E-2"/>
        </patternFill>
      </fill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ill>
        <patternFill>
          <bgColor theme="0" tint="-0.14996795556505021"/>
        </patternFill>
      </fill>
    </dxf>
    <dxf>
      <fill>
        <patternFill patternType="solid">
          <fgColor theme="4" tint="0.79992065187536243"/>
          <bgColor theme="0" tint="-4.9989318521683403E-2"/>
        </patternFill>
      </fill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0" tint="-0.14996795556505021"/>
        </bottom>
        <vertical/>
        <horizontal style="thin">
          <color theme="0" tint="-0.14996795556505021"/>
        </horizontal>
      </border>
    </dxf>
    <dxf>
      <font>
        <color theme="1"/>
      </font>
      <fill>
        <patternFill patternType="none">
          <bgColor auto="1"/>
        </patternFill>
      </fill>
      <border>
        <left/>
        <right/>
        <top style="thin">
          <color theme="2" tint="-9.9917600024414813E-2"/>
        </top>
        <bottom style="thin">
          <color theme="2" tint="-9.9948118533890809E-2"/>
        </bottom>
        <vertical/>
        <horizontal style="thin">
          <color theme="2" tint="-9.9917600024414813E-2"/>
        </horizontal>
      </border>
    </dxf>
    <dxf>
      <font>
        <color theme="1"/>
      </font>
      <fill>
        <patternFill>
          <bgColor theme="2" tint="-0.24994659260841701"/>
        </patternFill>
      </fill>
      <border diagonalUp="0" diagonalDown="0">
        <left style="thin">
          <color theme="0"/>
        </left>
        <right style="thin">
          <color theme="0"/>
        </right>
        <top/>
        <bottom style="medium">
          <color theme="2" tint="-0.499984740745262"/>
        </bottom>
        <vertical style="thin">
          <color theme="0"/>
        </vertical>
        <horizontal/>
      </border>
    </dxf>
    <dxf>
      <font>
        <color theme="0"/>
      </font>
      <fill>
        <patternFill>
          <bgColor theme="3"/>
        </patternFill>
      </fill>
    </dxf>
    <dxf>
      <font>
        <color theme="4" tint="-0.249977111117893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Employee Absence Table" pivot="0" count="13">
      <tableStyleElement type="wholeTable" dxfId="1035"/>
      <tableStyleElement type="headerRow" dxfId="1034"/>
      <tableStyleElement type="totalRow" dxfId="1033"/>
      <tableStyleElement type="firstColumn" dxfId="1032"/>
      <tableStyleElement type="lastColumn" dxfId="1031"/>
      <tableStyleElement type="firstRowStripe" dxfId="1030"/>
      <tableStyleElement type="secondRowStripe" dxfId="1029"/>
      <tableStyleElement type="firstColumnStripe" dxfId="1028"/>
      <tableStyleElement type="secondColumnStripe" dxfId="1027"/>
      <tableStyleElement type="firstHeaderCell" dxfId="1026"/>
      <tableStyleElement type="lastHeaderCell" dxfId="1025"/>
      <tableStyleElement type="firstTotalCell" dxfId="1024"/>
      <tableStyleElement type="lastTotalCell" dxfId="1023"/>
    </tableStyle>
  </tableStyles>
  <colors>
    <mruColors>
      <color rgb="FF5482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gtechnical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bgtechnical.net/antsproii/" TargetMode="Externa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bgtechnical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bgtechnical.net/antsproii/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95250</xdr:colOff>
      <xdr:row>1</xdr:row>
      <xdr:rowOff>590550</xdr:rowOff>
    </xdr:from>
    <xdr:to>
      <xdr:col>33</xdr:col>
      <xdr:colOff>19050</xdr:colOff>
      <xdr:row>5</xdr:row>
      <xdr:rowOff>0</xdr:rowOff>
    </xdr:to>
    <xdr:sp macro="" textlink="">
      <xdr:nvSpPr>
        <xdr:cNvPr id="3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982200" y="1228725"/>
          <a:ext cx="828675" cy="838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chemeClr val="bg1"/>
              </a:solidFill>
            </a:rPr>
            <a:t>Enter Year:</a:t>
          </a:r>
        </a:p>
      </xdr:txBody>
    </xdr:sp>
    <xdr:clientData fPrintsWithSheet="0"/>
  </xdr:twoCellAnchor>
  <xdr:twoCellAnchor>
    <xdr:from>
      <xdr:col>27</xdr:col>
      <xdr:colOff>82550</xdr:colOff>
      <xdr:row>0</xdr:row>
      <xdr:rowOff>171450</xdr:rowOff>
    </xdr:from>
    <xdr:to>
      <xdr:col>32</xdr:col>
      <xdr:colOff>1187451</xdr:colOff>
      <xdr:row>1</xdr:row>
      <xdr:rowOff>609601</xdr:rowOff>
    </xdr:to>
    <xdr:grpSp>
      <xdr:nvGrpSpPr>
        <xdr:cNvPr id="6" name="Group 5"/>
        <xdr:cNvGrpSpPr/>
      </xdr:nvGrpSpPr>
      <xdr:grpSpPr>
        <a:xfrm>
          <a:off x="9150587" y="171450"/>
          <a:ext cx="2499528" cy="996001"/>
          <a:chOff x="9331325" y="222250"/>
          <a:chExt cx="2219326" cy="767359"/>
        </a:xfrm>
      </xdr:grpSpPr>
      <xdr:sp macro="" textlink="">
        <xdr:nvSpPr>
          <xdr:cNvPr id="2" name="Rectangle 1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9331325" y="222250"/>
            <a:ext cx="2219326" cy="758825"/>
          </a:xfrm>
          <a:prstGeom prst="rect">
            <a:avLst/>
          </a:prstGeom>
          <a:solidFill>
            <a:srgbClr val="0070C0"/>
          </a:solidFill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>
                <a:solidFill>
                  <a:srgbClr val="FFFF00"/>
                </a:solidFill>
              </a:rPr>
              <a:t>🔐</a:t>
            </a:r>
            <a:r>
              <a:rPr lang="en-US" sz="1400" b="1"/>
              <a:t> Click Here to Sign In to BGT AntsPro Portal</a:t>
            </a:r>
          </a:p>
        </xdr:txBody>
      </xdr:sp>
      <xdr:pic>
        <xdr:nvPicPr>
          <xdr:cNvPr id="4" name="Picture 3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11551" y="645621"/>
            <a:ext cx="1190731" cy="343988"/>
          </a:xfrm>
          <a:prstGeom prst="rect">
            <a:avLst/>
          </a:prstGeom>
        </xdr:spPr>
      </xdr:pic>
    </xdr:grpSp>
    <xdr:clientData/>
  </xdr:twoCellAnchor>
  <xdr:twoCellAnchor editAs="oneCell">
    <xdr:from>
      <xdr:col>14</xdr:col>
      <xdr:colOff>146050</xdr:colOff>
      <xdr:row>0</xdr:row>
      <xdr:rowOff>396990</xdr:rowOff>
    </xdr:from>
    <xdr:to>
      <xdr:col>19</xdr:col>
      <xdr:colOff>139700</xdr:colOff>
      <xdr:row>1</xdr:row>
      <xdr:rowOff>612925</xdr:rowOff>
    </xdr:to>
    <xdr:pic>
      <xdr:nvPicPr>
        <xdr:cNvPr id="5" name="Picture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4350" y="396990"/>
          <a:ext cx="1390650" cy="774735"/>
        </a:xfrm>
        <a:prstGeom prst="rect">
          <a:avLst/>
        </a:prstGeom>
      </xdr:spPr>
    </xdr:pic>
    <xdr:clientData/>
  </xdr:twoCellAnchor>
  <xdr:twoCellAnchor>
    <xdr:from>
      <xdr:col>32</xdr:col>
      <xdr:colOff>95250</xdr:colOff>
      <xdr:row>18</xdr:row>
      <xdr:rowOff>590550</xdr:rowOff>
    </xdr:from>
    <xdr:to>
      <xdr:col>33</xdr:col>
      <xdr:colOff>19050</xdr:colOff>
      <xdr:row>22</xdr:row>
      <xdr:rowOff>0</xdr:rowOff>
    </xdr:to>
    <xdr:sp macro="" textlink="">
      <xdr:nvSpPr>
        <xdr:cNvPr id="7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439400" y="1225550"/>
          <a:ext cx="1136650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chemeClr val="bg1"/>
              </a:solidFill>
            </a:rPr>
            <a:t>Enter Year:</a:t>
          </a:r>
        </a:p>
      </xdr:txBody>
    </xdr:sp>
    <xdr:clientData fPrintsWithSheet="0"/>
  </xdr:twoCellAnchor>
  <xdr:twoCellAnchor>
    <xdr:from>
      <xdr:col>32</xdr:col>
      <xdr:colOff>95250</xdr:colOff>
      <xdr:row>35</xdr:row>
      <xdr:rowOff>590550</xdr:rowOff>
    </xdr:from>
    <xdr:to>
      <xdr:col>33</xdr:col>
      <xdr:colOff>19050</xdr:colOff>
      <xdr:row>39</xdr:row>
      <xdr:rowOff>0</xdr:rowOff>
    </xdr:to>
    <xdr:sp macro="" textlink="">
      <xdr:nvSpPr>
        <xdr:cNvPr id="8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439400" y="1225550"/>
          <a:ext cx="1136650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chemeClr val="bg1"/>
              </a:solidFill>
            </a:rPr>
            <a:t>Enter Year:</a:t>
          </a:r>
        </a:p>
      </xdr:txBody>
    </xdr:sp>
    <xdr:clientData fPrintsWithSheet="0"/>
  </xdr:twoCellAnchor>
  <xdr:twoCellAnchor>
    <xdr:from>
      <xdr:col>32</xdr:col>
      <xdr:colOff>95250</xdr:colOff>
      <xdr:row>52</xdr:row>
      <xdr:rowOff>590550</xdr:rowOff>
    </xdr:from>
    <xdr:to>
      <xdr:col>33</xdr:col>
      <xdr:colOff>19050</xdr:colOff>
      <xdr:row>56</xdr:row>
      <xdr:rowOff>0</xdr:rowOff>
    </xdr:to>
    <xdr:sp macro="" textlink="">
      <xdr:nvSpPr>
        <xdr:cNvPr id="9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439400" y="1225550"/>
          <a:ext cx="1136650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chemeClr val="bg1"/>
              </a:solidFill>
            </a:rPr>
            <a:t>Enter Year:</a:t>
          </a:r>
        </a:p>
      </xdr:txBody>
    </xdr:sp>
    <xdr:clientData fPrintsWithSheet="0"/>
  </xdr:twoCellAnchor>
  <xdr:twoCellAnchor>
    <xdr:from>
      <xdr:col>32</xdr:col>
      <xdr:colOff>95250</xdr:colOff>
      <xdr:row>69</xdr:row>
      <xdr:rowOff>590550</xdr:rowOff>
    </xdr:from>
    <xdr:to>
      <xdr:col>33</xdr:col>
      <xdr:colOff>19050</xdr:colOff>
      <xdr:row>73</xdr:row>
      <xdr:rowOff>0</xdr:rowOff>
    </xdr:to>
    <xdr:sp macro="" textlink="">
      <xdr:nvSpPr>
        <xdr:cNvPr id="10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439400" y="11785600"/>
          <a:ext cx="1136650" cy="812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chemeClr val="bg1"/>
              </a:solidFill>
            </a:rPr>
            <a:t>Enter Year:</a:t>
          </a:r>
        </a:p>
      </xdr:txBody>
    </xdr:sp>
    <xdr:clientData fPrintsWithSheet="0"/>
  </xdr:twoCellAnchor>
  <xdr:twoCellAnchor>
    <xdr:from>
      <xdr:col>32</xdr:col>
      <xdr:colOff>95250</xdr:colOff>
      <xdr:row>86</xdr:row>
      <xdr:rowOff>590550</xdr:rowOff>
    </xdr:from>
    <xdr:to>
      <xdr:col>33</xdr:col>
      <xdr:colOff>19050</xdr:colOff>
      <xdr:row>90</xdr:row>
      <xdr:rowOff>0</xdr:rowOff>
    </xdr:to>
    <xdr:sp macro="" textlink="">
      <xdr:nvSpPr>
        <xdr:cNvPr id="11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439400" y="11785600"/>
          <a:ext cx="1136650" cy="812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chemeClr val="bg1"/>
              </a:solidFill>
            </a:rPr>
            <a:t>Enter Year:</a:t>
          </a:r>
        </a:p>
      </xdr:txBody>
    </xdr:sp>
    <xdr:clientData fPrintsWithSheet="0"/>
  </xdr:twoCellAnchor>
  <xdr:twoCellAnchor>
    <xdr:from>
      <xdr:col>32</xdr:col>
      <xdr:colOff>95250</xdr:colOff>
      <xdr:row>103</xdr:row>
      <xdr:rowOff>590550</xdr:rowOff>
    </xdr:from>
    <xdr:to>
      <xdr:col>33</xdr:col>
      <xdr:colOff>19050</xdr:colOff>
      <xdr:row>107</xdr:row>
      <xdr:rowOff>0</xdr:rowOff>
    </xdr:to>
    <xdr:sp macro="" textlink="">
      <xdr:nvSpPr>
        <xdr:cNvPr id="12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439400" y="11785600"/>
          <a:ext cx="1136650" cy="812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chemeClr val="bg1"/>
              </a:solidFill>
            </a:rPr>
            <a:t>Enter Year:</a:t>
          </a:r>
        </a:p>
      </xdr:txBody>
    </xdr:sp>
    <xdr:clientData fPrintsWithSheet="0"/>
  </xdr:twoCellAnchor>
  <xdr:twoCellAnchor>
    <xdr:from>
      <xdr:col>32</xdr:col>
      <xdr:colOff>95250</xdr:colOff>
      <xdr:row>120</xdr:row>
      <xdr:rowOff>590550</xdr:rowOff>
    </xdr:from>
    <xdr:to>
      <xdr:col>33</xdr:col>
      <xdr:colOff>19050</xdr:colOff>
      <xdr:row>124</xdr:row>
      <xdr:rowOff>0</xdr:rowOff>
    </xdr:to>
    <xdr:sp macro="" textlink="">
      <xdr:nvSpPr>
        <xdr:cNvPr id="13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439400" y="11785600"/>
          <a:ext cx="1136650" cy="812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chemeClr val="bg1"/>
              </a:solidFill>
            </a:rPr>
            <a:t>Enter Year:</a:t>
          </a:r>
        </a:p>
      </xdr:txBody>
    </xdr:sp>
    <xdr:clientData fPrintsWithSheet="0"/>
  </xdr:twoCellAnchor>
  <xdr:twoCellAnchor>
    <xdr:from>
      <xdr:col>32</xdr:col>
      <xdr:colOff>95250</xdr:colOff>
      <xdr:row>137</xdr:row>
      <xdr:rowOff>590550</xdr:rowOff>
    </xdr:from>
    <xdr:to>
      <xdr:col>33</xdr:col>
      <xdr:colOff>19050</xdr:colOff>
      <xdr:row>141</xdr:row>
      <xdr:rowOff>0</xdr:rowOff>
    </xdr:to>
    <xdr:sp macro="" textlink="">
      <xdr:nvSpPr>
        <xdr:cNvPr id="14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439400" y="11785600"/>
          <a:ext cx="1136650" cy="812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chemeClr val="bg1"/>
              </a:solidFill>
            </a:rPr>
            <a:t>Enter Year:</a:t>
          </a:r>
        </a:p>
      </xdr:txBody>
    </xdr:sp>
    <xdr:clientData fPrintsWithSheet="0"/>
  </xdr:twoCellAnchor>
  <xdr:twoCellAnchor>
    <xdr:from>
      <xdr:col>32</xdr:col>
      <xdr:colOff>95250</xdr:colOff>
      <xdr:row>154</xdr:row>
      <xdr:rowOff>590550</xdr:rowOff>
    </xdr:from>
    <xdr:to>
      <xdr:col>33</xdr:col>
      <xdr:colOff>19050</xdr:colOff>
      <xdr:row>158</xdr:row>
      <xdr:rowOff>0</xdr:rowOff>
    </xdr:to>
    <xdr:sp macro="" textlink="">
      <xdr:nvSpPr>
        <xdr:cNvPr id="15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439400" y="11785600"/>
          <a:ext cx="1136650" cy="812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chemeClr val="bg1"/>
              </a:solidFill>
            </a:rPr>
            <a:t>Enter Year:</a:t>
          </a:r>
        </a:p>
      </xdr:txBody>
    </xdr:sp>
    <xdr:clientData fPrintsWithSheet="0"/>
  </xdr:twoCellAnchor>
  <xdr:twoCellAnchor>
    <xdr:from>
      <xdr:col>32</xdr:col>
      <xdr:colOff>95250</xdr:colOff>
      <xdr:row>171</xdr:row>
      <xdr:rowOff>590550</xdr:rowOff>
    </xdr:from>
    <xdr:to>
      <xdr:col>33</xdr:col>
      <xdr:colOff>19050</xdr:colOff>
      <xdr:row>175</xdr:row>
      <xdr:rowOff>0</xdr:rowOff>
    </xdr:to>
    <xdr:sp macro="" textlink="">
      <xdr:nvSpPr>
        <xdr:cNvPr id="16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439400" y="11785600"/>
          <a:ext cx="1136650" cy="812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chemeClr val="bg1"/>
              </a:solidFill>
            </a:rPr>
            <a:t>Enter Year:</a:t>
          </a:r>
        </a:p>
      </xdr:txBody>
    </xdr:sp>
    <xdr:clientData fPrintsWithSheet="0"/>
  </xdr:twoCellAnchor>
  <xdr:twoCellAnchor>
    <xdr:from>
      <xdr:col>32</xdr:col>
      <xdr:colOff>95250</xdr:colOff>
      <xdr:row>188</xdr:row>
      <xdr:rowOff>590550</xdr:rowOff>
    </xdr:from>
    <xdr:to>
      <xdr:col>33</xdr:col>
      <xdr:colOff>19050</xdr:colOff>
      <xdr:row>192</xdr:row>
      <xdr:rowOff>0</xdr:rowOff>
    </xdr:to>
    <xdr:sp macro="" textlink="">
      <xdr:nvSpPr>
        <xdr:cNvPr id="17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439400" y="11785600"/>
          <a:ext cx="1136650" cy="812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chemeClr val="bg1"/>
              </a:solidFill>
            </a:rPr>
            <a:t>Enter Year: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82550</xdr:colOff>
      <xdr:row>2</xdr:row>
      <xdr:rowOff>0</xdr:rowOff>
    </xdr:from>
    <xdr:to>
      <xdr:col>13</xdr:col>
      <xdr:colOff>958850</xdr:colOff>
      <xdr:row>5</xdr:row>
      <xdr:rowOff>63501</xdr:rowOff>
    </xdr:to>
    <xdr:sp macro="" textlink="">
      <xdr:nvSpPr>
        <xdr:cNvPr id="7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 flipH="1">
          <a:off x="10750550" y="1270000"/>
          <a:ext cx="876300" cy="755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Enter Year:</a:t>
          </a:r>
        </a:p>
      </xdr:txBody>
    </xdr:sp>
    <xdr:clientData fPrintsWithSheet="0"/>
  </xdr:twoCellAnchor>
  <xdr:twoCellAnchor>
    <xdr:from>
      <xdr:col>10</xdr:col>
      <xdr:colOff>533400</xdr:colOff>
      <xdr:row>0</xdr:row>
      <xdr:rowOff>165100</xdr:rowOff>
    </xdr:from>
    <xdr:to>
      <xdr:col>13</xdr:col>
      <xdr:colOff>982135</xdr:colOff>
      <xdr:row>1</xdr:row>
      <xdr:rowOff>609169</xdr:rowOff>
    </xdr:to>
    <xdr:grpSp>
      <xdr:nvGrpSpPr>
        <xdr:cNvPr id="2" name="Group 1"/>
        <xdr:cNvGrpSpPr/>
      </xdr:nvGrpSpPr>
      <xdr:grpSpPr>
        <a:xfrm>
          <a:off x="9144000" y="165100"/>
          <a:ext cx="2506135" cy="1079069"/>
          <a:chOff x="9315451" y="319617"/>
          <a:chExt cx="2351617" cy="924552"/>
        </a:xfrm>
      </xdr:grpSpPr>
      <xdr:sp macro="" textlink="">
        <xdr:nvSpPr>
          <xdr:cNvPr id="9" name="Rectangle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9315451" y="319617"/>
            <a:ext cx="2351617" cy="924552"/>
          </a:xfrm>
          <a:prstGeom prst="rect">
            <a:avLst/>
          </a:prstGeom>
          <a:solidFill>
            <a:srgbClr val="0070C0"/>
          </a:solidFill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 b="1">
                <a:solidFill>
                  <a:srgbClr val="FFFF00"/>
                </a:solidFill>
              </a:rPr>
              <a:t>🔐</a:t>
            </a:r>
            <a:r>
              <a:rPr lang="en-US" sz="1600" b="1"/>
              <a:t> Click Here to Sign In to BGT AntsPro Portal</a:t>
            </a:r>
          </a:p>
        </xdr:txBody>
      </xdr:sp>
      <xdr:pic>
        <xdr:nvPicPr>
          <xdr:cNvPr id="10" name="Picture 9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94679" y="874184"/>
            <a:ext cx="1224471" cy="34925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275167</xdr:colOff>
      <xdr:row>0</xdr:row>
      <xdr:rowOff>422390</xdr:rowOff>
    </xdr:from>
    <xdr:to>
      <xdr:col>6</xdr:col>
      <xdr:colOff>345017</xdr:colOff>
      <xdr:row>1</xdr:row>
      <xdr:rowOff>615189</xdr:rowOff>
    </xdr:to>
    <xdr:pic>
      <xdr:nvPicPr>
        <xdr:cNvPr id="11" name="Picture 10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9967" y="422390"/>
          <a:ext cx="1488017" cy="827799"/>
        </a:xfrm>
        <a:prstGeom prst="rect">
          <a:avLst/>
        </a:prstGeom>
      </xdr:spPr>
    </xdr:pic>
    <xdr:clientData/>
  </xdr:twoCellAnchor>
  <xdr:twoCellAnchor>
    <xdr:from>
      <xdr:col>13</xdr:col>
      <xdr:colOff>4234</xdr:colOff>
      <xdr:row>2</xdr:row>
      <xdr:rowOff>457200</xdr:rowOff>
    </xdr:from>
    <xdr:to>
      <xdr:col>14</xdr:col>
      <xdr:colOff>38100</xdr:colOff>
      <xdr:row>3</xdr:row>
      <xdr:rowOff>190500</xdr:rowOff>
    </xdr:to>
    <xdr:sp macro="" textlink="">
      <xdr:nvSpPr>
        <xdr:cNvPr id="22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689167" y="1727200"/>
          <a:ext cx="104986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Months </a:t>
          </a:r>
          <a:r>
            <a:rPr lang="en-US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 b="1">
            <a:solidFill>
              <a:schemeClr val="bg1"/>
            </a:solidFill>
          </a:endParaRPr>
        </a:p>
        <a:p>
          <a:pPr lvl="0" algn="l"/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050" b="1">
            <a:solidFill>
              <a:schemeClr val="bg1"/>
            </a:solidFill>
          </a:endParaRPr>
        </a:p>
      </xdr:txBody>
    </xdr:sp>
    <xdr:clientData fPrintsWithSheet="0"/>
  </xdr:twoCellAnchor>
  <xdr:twoCellAnchor>
    <xdr:from>
      <xdr:col>13</xdr:col>
      <xdr:colOff>95250</xdr:colOff>
      <xdr:row>16</xdr:row>
      <xdr:rowOff>0</xdr:rowOff>
    </xdr:from>
    <xdr:to>
      <xdr:col>13</xdr:col>
      <xdr:colOff>971550</xdr:colOff>
      <xdr:row>19</xdr:row>
      <xdr:rowOff>63501</xdr:rowOff>
    </xdr:to>
    <xdr:sp macro="" textlink="">
      <xdr:nvSpPr>
        <xdr:cNvPr id="8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 flipH="1">
          <a:off x="10763250" y="4953000"/>
          <a:ext cx="876300" cy="755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Enter Year:</a:t>
          </a:r>
        </a:p>
      </xdr:txBody>
    </xdr:sp>
    <xdr:clientData fPrintsWithSheet="0"/>
  </xdr:twoCellAnchor>
  <xdr:twoCellAnchor>
    <xdr:from>
      <xdr:col>10</xdr:col>
      <xdr:colOff>533400</xdr:colOff>
      <xdr:row>14</xdr:row>
      <xdr:rowOff>165100</xdr:rowOff>
    </xdr:from>
    <xdr:to>
      <xdr:col>13</xdr:col>
      <xdr:colOff>982135</xdr:colOff>
      <xdr:row>15</xdr:row>
      <xdr:rowOff>190069</xdr:rowOff>
    </xdr:to>
    <xdr:grpSp>
      <xdr:nvGrpSpPr>
        <xdr:cNvPr id="12" name="Group 11"/>
        <xdr:cNvGrpSpPr/>
      </xdr:nvGrpSpPr>
      <xdr:grpSpPr>
        <a:xfrm>
          <a:off x="9144000" y="3848100"/>
          <a:ext cx="2506135" cy="659969"/>
          <a:chOff x="9315451" y="319617"/>
          <a:chExt cx="2351617" cy="924552"/>
        </a:xfrm>
      </xdr:grpSpPr>
      <xdr:sp macro="" textlink="">
        <xdr:nvSpPr>
          <xdr:cNvPr id="13" name="Rectangle 1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9315451" y="319617"/>
            <a:ext cx="2351617" cy="924552"/>
          </a:xfrm>
          <a:prstGeom prst="rect">
            <a:avLst/>
          </a:prstGeom>
          <a:solidFill>
            <a:srgbClr val="0070C0"/>
          </a:solidFill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 b="1">
                <a:solidFill>
                  <a:srgbClr val="FFFF00"/>
                </a:solidFill>
              </a:rPr>
              <a:t>🔐</a:t>
            </a:r>
            <a:r>
              <a:rPr lang="en-US" sz="1600" b="1"/>
              <a:t> Click Here to Sign In to BGT AntsPro Portal</a:t>
            </a:r>
          </a:p>
        </xdr:txBody>
      </xdr:sp>
      <xdr:pic>
        <xdr:nvPicPr>
          <xdr:cNvPr id="14" name="Picture 13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94679" y="874184"/>
            <a:ext cx="1224471" cy="349250"/>
          </a:xfrm>
          <a:prstGeom prst="rect">
            <a:avLst/>
          </a:prstGeom>
        </xdr:spPr>
      </xdr:pic>
    </xdr:grpSp>
    <xdr:clientData/>
  </xdr:twoCellAnchor>
  <xdr:oneCellAnchor>
    <xdr:from>
      <xdr:col>4</xdr:col>
      <xdr:colOff>275167</xdr:colOff>
      <xdr:row>14</xdr:row>
      <xdr:rowOff>422390</xdr:rowOff>
    </xdr:from>
    <xdr:ext cx="1485900" cy="827799"/>
    <xdr:pic>
      <xdr:nvPicPr>
        <xdr:cNvPr id="15" name="Picture 1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3617" y="422390"/>
          <a:ext cx="1485900" cy="827799"/>
        </a:xfrm>
        <a:prstGeom prst="rect">
          <a:avLst/>
        </a:prstGeom>
      </xdr:spPr>
    </xdr:pic>
    <xdr:clientData/>
  </xdr:oneCellAnchor>
  <xdr:twoCellAnchor>
    <xdr:from>
      <xdr:col>13</xdr:col>
      <xdr:colOff>4234</xdr:colOff>
      <xdr:row>16</xdr:row>
      <xdr:rowOff>457200</xdr:rowOff>
    </xdr:from>
    <xdr:to>
      <xdr:col>14</xdr:col>
      <xdr:colOff>38100</xdr:colOff>
      <xdr:row>17</xdr:row>
      <xdr:rowOff>190500</xdr:rowOff>
    </xdr:to>
    <xdr:sp macro="" textlink="">
      <xdr:nvSpPr>
        <xdr:cNvPr id="16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672234" y="1727200"/>
          <a:ext cx="1049866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Months </a:t>
          </a:r>
          <a:r>
            <a:rPr lang="en-US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 b="1">
            <a:solidFill>
              <a:schemeClr val="bg1"/>
            </a:solidFill>
          </a:endParaRPr>
        </a:p>
        <a:p>
          <a:pPr lvl="0" algn="l"/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050" b="1">
            <a:solidFill>
              <a:schemeClr val="bg1"/>
            </a:solidFill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id="3" name="Jan" displayName="Jan" ref="A5:AG11" totalsRowCount="1" dataDxfId="902">
  <tableColumns count="33">
    <tableColumn id="1" name="👤 Name" totalsRowFunction="custom" dataDxfId="901" totalsRowDxfId="900">
      <totalsRowFormula>A3 &amp; " Total"</totalsRowFormula>
    </tableColumn>
    <tableColumn id="2" name="1" totalsRowFunction="count" dataDxfId="899" totalsRowDxfId="898"/>
    <tableColumn id="3" name="2" totalsRowFunction="count" dataDxfId="897" totalsRowDxfId="896"/>
    <tableColumn id="4" name="3" totalsRowFunction="count" dataDxfId="895" totalsRowDxfId="894"/>
    <tableColumn id="5" name="4" totalsRowFunction="count" dataDxfId="893" totalsRowDxfId="892"/>
    <tableColumn id="6" name="5" totalsRowFunction="count" dataDxfId="891" totalsRowDxfId="890"/>
    <tableColumn id="7" name="6" totalsRowFunction="count" dataDxfId="889" totalsRowDxfId="888"/>
    <tableColumn id="8" name="7" totalsRowFunction="count" dataDxfId="887" totalsRowDxfId="886"/>
    <tableColumn id="9" name="8" totalsRowFunction="count" dataDxfId="885" totalsRowDxfId="884"/>
    <tableColumn id="10" name="9" totalsRowFunction="count" dataDxfId="883" totalsRowDxfId="882"/>
    <tableColumn id="11" name="10" totalsRowFunction="count" dataDxfId="881" totalsRowDxfId="880"/>
    <tableColumn id="12" name="11" totalsRowFunction="count" dataDxfId="879" totalsRowDxfId="878"/>
    <tableColumn id="13" name="12" totalsRowFunction="count" dataDxfId="877" totalsRowDxfId="876"/>
    <tableColumn id="14" name="13" totalsRowFunction="count" dataDxfId="875" totalsRowDxfId="874"/>
    <tableColumn id="15" name="14" totalsRowFunction="count" dataDxfId="873" totalsRowDxfId="872"/>
    <tableColumn id="16" name="15" totalsRowFunction="count" dataDxfId="871" totalsRowDxfId="870"/>
    <tableColumn id="17" name="16" totalsRowFunction="count" dataDxfId="869" totalsRowDxfId="868"/>
    <tableColumn id="18" name="17" totalsRowFunction="count" dataDxfId="867" totalsRowDxfId="866"/>
    <tableColumn id="19" name="18" totalsRowFunction="count" dataDxfId="865" totalsRowDxfId="864"/>
    <tableColumn id="20" name="19" totalsRowFunction="count" dataDxfId="863" totalsRowDxfId="862"/>
    <tableColumn id="21" name="20" totalsRowFunction="count" dataDxfId="861" totalsRowDxfId="860"/>
    <tableColumn id="22" name="21" totalsRowFunction="count" dataDxfId="859" totalsRowDxfId="858"/>
    <tableColumn id="23" name="22" totalsRowFunction="count" dataDxfId="857" totalsRowDxfId="856"/>
    <tableColumn id="24" name="23" totalsRowFunction="count" dataDxfId="855" totalsRowDxfId="854"/>
    <tableColumn id="25" name="24" totalsRowFunction="count" dataDxfId="853" totalsRowDxfId="852"/>
    <tableColumn id="26" name="25" totalsRowFunction="count" dataDxfId="851" totalsRowDxfId="850"/>
    <tableColumn id="27" name="26" totalsRowFunction="count" dataDxfId="849" totalsRowDxfId="848"/>
    <tableColumn id="28" name="27" totalsRowFunction="count" dataDxfId="847" totalsRowDxfId="846"/>
    <tableColumn id="29" name="28" totalsRowFunction="count" dataDxfId="845" totalsRowDxfId="844"/>
    <tableColumn id="30" name="29" totalsRowFunction="count" dataDxfId="843" totalsRowDxfId="842"/>
    <tableColumn id="31" name="30" totalsRowFunction="count" dataDxfId="841" totalsRowDxfId="840"/>
    <tableColumn id="32" name="31" totalsRowFunction="count" dataDxfId="839" totalsRowDxfId="838"/>
    <tableColumn id="33" name="Total Days Traveled" totalsRowFunction="sum" dataDxfId="837" totalsRowDxfId="836">
      <calculatedColumnFormula>COUNTA(Jan[[#This Row],[1]:[31]])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anuar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2.xml><?xml version="1.0" encoding="utf-8"?>
<table xmlns="http://schemas.openxmlformats.org/spreadsheetml/2006/main" id="1" name="Feb" displayName="Feb" ref="A22:AG28" totalsRowCount="1" dataDxfId="835">
  <tableColumns count="33">
    <tableColumn id="1" name="👤 Name" totalsRowFunction="custom" dataDxfId="834" totalsRowDxfId="32">
      <totalsRowFormula>A20 &amp; " Total"</totalsRowFormula>
    </tableColumn>
    <tableColumn id="2" name="1" totalsRowFunction="count" dataDxfId="833" totalsRowDxfId="31"/>
    <tableColumn id="3" name="2" totalsRowFunction="count" dataDxfId="832" totalsRowDxfId="30"/>
    <tableColumn id="4" name="3" totalsRowFunction="count" dataDxfId="831" totalsRowDxfId="29"/>
    <tableColumn id="5" name="4" totalsRowFunction="count" dataDxfId="830" totalsRowDxfId="28"/>
    <tableColumn id="6" name="5" totalsRowFunction="count" dataDxfId="829" totalsRowDxfId="27"/>
    <tableColumn id="7" name="6" totalsRowFunction="count" dataDxfId="828" totalsRowDxfId="26"/>
    <tableColumn id="8" name="7" totalsRowFunction="count" dataDxfId="827" totalsRowDxfId="25"/>
    <tableColumn id="9" name="8" totalsRowFunction="count" dataDxfId="826" totalsRowDxfId="24"/>
    <tableColumn id="10" name="9" totalsRowFunction="count" dataDxfId="825" totalsRowDxfId="23"/>
    <tableColumn id="11" name="10" totalsRowFunction="count" dataDxfId="824" totalsRowDxfId="22"/>
    <tableColumn id="12" name="11" totalsRowFunction="count" dataDxfId="823" totalsRowDxfId="21"/>
    <tableColumn id="13" name="12" totalsRowFunction="count" dataDxfId="822" totalsRowDxfId="20"/>
    <tableColumn id="14" name="13" totalsRowFunction="count" dataDxfId="821" totalsRowDxfId="19"/>
    <tableColumn id="15" name="14" totalsRowFunction="count" dataDxfId="820" totalsRowDxfId="18"/>
    <tableColumn id="16" name="15" totalsRowFunction="count" dataDxfId="819" totalsRowDxfId="17"/>
    <tableColumn id="17" name="16" totalsRowFunction="count" dataDxfId="818" totalsRowDxfId="16"/>
    <tableColumn id="18" name="17" totalsRowFunction="count" dataDxfId="817" totalsRowDxfId="15"/>
    <tableColumn id="19" name="18" totalsRowFunction="count" dataDxfId="816" totalsRowDxfId="14"/>
    <tableColumn id="20" name="19" totalsRowFunction="count" dataDxfId="815" totalsRowDxfId="13"/>
    <tableColumn id="21" name="20" totalsRowFunction="count" dataDxfId="814" totalsRowDxfId="12"/>
    <tableColumn id="22" name="21" totalsRowFunction="count" dataDxfId="813" totalsRowDxfId="11"/>
    <tableColumn id="23" name="22" totalsRowFunction="count" dataDxfId="812" totalsRowDxfId="10"/>
    <tableColumn id="24" name="23" totalsRowFunction="count" dataDxfId="811" totalsRowDxfId="9"/>
    <tableColumn id="25" name="24" totalsRowFunction="count" dataDxfId="810" totalsRowDxfId="8"/>
    <tableColumn id="26" name="25" totalsRowFunction="count" dataDxfId="809" totalsRowDxfId="7"/>
    <tableColumn id="27" name="26" totalsRowFunction="count" dataDxfId="808" totalsRowDxfId="6"/>
    <tableColumn id="28" name="27" totalsRowFunction="count" dataDxfId="807" totalsRowDxfId="5"/>
    <tableColumn id="29" name="28" totalsRowFunction="count" dataDxfId="806" totalsRowDxfId="4"/>
    <tableColumn id="30" name="29" totalsRowFunction="count" dataDxfId="805" totalsRowDxfId="3"/>
    <tableColumn id="31" name="30" totalsRowFunction="count" dataDxfId="804" totalsRowDxfId="2"/>
    <tableColumn id="32" name="31" totalsRowFunction="count" dataDxfId="803" totalsRowDxfId="1"/>
    <tableColumn id="33" name="Total Days Traveled" totalsRowFunction="sum" dataDxfId="802" totalsRowDxfId="0">
      <calculatedColumnFormula>COUNTA(Feb[[#This Row],[1]:[31]])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anuar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3.xml><?xml version="1.0" encoding="utf-8"?>
<table xmlns="http://schemas.openxmlformats.org/spreadsheetml/2006/main" id="4" name="Mar" displayName="Mar" ref="A39:AG45" totalsRowCount="1" dataDxfId="801">
  <tableColumns count="33">
    <tableColumn id="1" name="👤 Name" totalsRowFunction="custom" dataDxfId="800" totalsRowDxfId="799">
      <totalsRowFormula>A37 &amp; " Total"</totalsRowFormula>
    </tableColumn>
    <tableColumn id="2" name="1" totalsRowFunction="count" dataDxfId="798" totalsRowDxfId="797"/>
    <tableColumn id="3" name="2" totalsRowFunction="count" dataDxfId="796" totalsRowDxfId="795"/>
    <tableColumn id="4" name="3" totalsRowFunction="count" dataDxfId="794" totalsRowDxfId="793"/>
    <tableColumn id="5" name="4" totalsRowFunction="count" dataDxfId="792" totalsRowDxfId="791"/>
    <tableColumn id="6" name="5" totalsRowFunction="count" dataDxfId="790" totalsRowDxfId="789"/>
    <tableColumn id="7" name="6" totalsRowFunction="count" dataDxfId="788" totalsRowDxfId="787"/>
    <tableColumn id="8" name="7" totalsRowFunction="count" dataDxfId="786" totalsRowDxfId="785"/>
    <tableColumn id="9" name="8" totalsRowFunction="count" dataDxfId="784" totalsRowDxfId="783"/>
    <tableColumn id="10" name="9" totalsRowFunction="count" dataDxfId="782" totalsRowDxfId="781"/>
    <tableColumn id="11" name="10" totalsRowFunction="count" dataDxfId="780" totalsRowDxfId="779"/>
    <tableColumn id="12" name="11" totalsRowFunction="count" dataDxfId="778" totalsRowDxfId="777"/>
    <tableColumn id="13" name="12" totalsRowFunction="count" dataDxfId="776" totalsRowDxfId="775"/>
    <tableColumn id="14" name="13" totalsRowFunction="count" dataDxfId="774" totalsRowDxfId="773"/>
    <tableColumn id="15" name="14" totalsRowFunction="count" dataDxfId="772" totalsRowDxfId="771"/>
    <tableColumn id="16" name="15" totalsRowFunction="count" dataDxfId="770" totalsRowDxfId="769"/>
    <tableColumn id="17" name="16" totalsRowFunction="count" dataDxfId="768" totalsRowDxfId="767"/>
    <tableColumn id="18" name="17" totalsRowFunction="count" dataDxfId="766" totalsRowDxfId="765"/>
    <tableColumn id="19" name="18" totalsRowFunction="count" dataDxfId="764" totalsRowDxfId="763"/>
    <tableColumn id="20" name="19" totalsRowFunction="count" dataDxfId="762" totalsRowDxfId="761"/>
    <tableColumn id="21" name="20" totalsRowFunction="count" dataDxfId="760" totalsRowDxfId="759"/>
    <tableColumn id="22" name="21" totalsRowFunction="count" dataDxfId="758" totalsRowDxfId="757"/>
    <tableColumn id="23" name="22" totalsRowFunction="count" dataDxfId="756" totalsRowDxfId="755"/>
    <tableColumn id="24" name="23" totalsRowFunction="count" dataDxfId="754" totalsRowDxfId="753"/>
    <tableColumn id="25" name="24" totalsRowFunction="count" dataDxfId="752" totalsRowDxfId="751"/>
    <tableColumn id="26" name="25" totalsRowFunction="count" dataDxfId="750" totalsRowDxfId="749"/>
    <tableColumn id="27" name="26" totalsRowFunction="count" dataDxfId="748" totalsRowDxfId="747"/>
    <tableColumn id="28" name="27" totalsRowFunction="count" dataDxfId="746" totalsRowDxfId="745"/>
    <tableColumn id="29" name="28" totalsRowFunction="count" dataDxfId="744" totalsRowDxfId="743"/>
    <tableColumn id="30" name="29" totalsRowFunction="count" dataDxfId="742" totalsRowDxfId="741"/>
    <tableColumn id="31" name="30" totalsRowFunction="count" dataDxfId="740" totalsRowDxfId="739"/>
    <tableColumn id="32" name="31" totalsRowFunction="count" dataDxfId="738" totalsRowDxfId="737"/>
    <tableColumn id="33" name="Total Days Traveled" totalsRowFunction="sum" dataDxfId="736" totalsRowDxfId="735">
      <calculatedColumnFormula>COUNTA(Mar[[#This Row],[1]:[31]])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anuar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4.xml><?xml version="1.0" encoding="utf-8"?>
<table xmlns="http://schemas.openxmlformats.org/spreadsheetml/2006/main" id="5" name="Apr" displayName="Apr" ref="A56:AG62" totalsRowCount="1" dataDxfId="734">
  <tableColumns count="33">
    <tableColumn id="1" name="👤 Name" totalsRowFunction="custom" dataDxfId="733" totalsRowDxfId="732">
      <totalsRowFormula>A54 &amp; " Total"</totalsRowFormula>
    </tableColumn>
    <tableColumn id="2" name="1" totalsRowFunction="count" dataDxfId="731" totalsRowDxfId="730"/>
    <tableColumn id="3" name="2" totalsRowFunction="count" dataDxfId="729" totalsRowDxfId="728"/>
    <tableColumn id="4" name="3" totalsRowFunction="count" dataDxfId="727" totalsRowDxfId="726"/>
    <tableColumn id="5" name="4" totalsRowFunction="count" dataDxfId="725" totalsRowDxfId="724"/>
    <tableColumn id="6" name="5" totalsRowFunction="count" dataDxfId="723" totalsRowDxfId="722"/>
    <tableColumn id="7" name="6" totalsRowFunction="count" dataDxfId="721" totalsRowDxfId="720"/>
    <tableColumn id="8" name="7" totalsRowFunction="count" dataDxfId="719" totalsRowDxfId="718"/>
    <tableColumn id="9" name="8" totalsRowFunction="count" dataDxfId="717" totalsRowDxfId="716"/>
    <tableColumn id="10" name="9" totalsRowFunction="count" dataDxfId="715" totalsRowDxfId="714"/>
    <tableColumn id="11" name="10" totalsRowFunction="count" dataDxfId="713" totalsRowDxfId="712"/>
    <tableColumn id="12" name="11" totalsRowFunction="count" dataDxfId="711" totalsRowDxfId="710"/>
    <tableColumn id="13" name="12" totalsRowFunction="count" dataDxfId="709" totalsRowDxfId="708"/>
    <tableColumn id="14" name="13" totalsRowFunction="count" dataDxfId="707" totalsRowDxfId="706"/>
    <tableColumn id="15" name="14" totalsRowFunction="count" dataDxfId="705" totalsRowDxfId="704"/>
    <tableColumn id="16" name="15" totalsRowFunction="count" dataDxfId="703" totalsRowDxfId="702"/>
    <tableColumn id="17" name="16" totalsRowFunction="count" dataDxfId="701" totalsRowDxfId="700"/>
    <tableColumn id="18" name="17" totalsRowFunction="count" dataDxfId="699" totalsRowDxfId="698"/>
    <tableColumn id="19" name="18" totalsRowFunction="count" dataDxfId="697" totalsRowDxfId="696"/>
    <tableColumn id="20" name="19" totalsRowFunction="count" dataDxfId="695" totalsRowDxfId="694"/>
    <tableColumn id="21" name="20" totalsRowFunction="count" dataDxfId="693" totalsRowDxfId="692"/>
    <tableColumn id="22" name="21" totalsRowFunction="count" dataDxfId="691" totalsRowDxfId="690"/>
    <tableColumn id="23" name="22" totalsRowFunction="count" dataDxfId="689" totalsRowDxfId="688"/>
    <tableColumn id="24" name="23" totalsRowFunction="count" dataDxfId="687" totalsRowDxfId="686"/>
    <tableColumn id="25" name="24" totalsRowFunction="count" dataDxfId="685" totalsRowDxfId="684"/>
    <tableColumn id="26" name="25" totalsRowFunction="count" dataDxfId="683" totalsRowDxfId="682"/>
    <tableColumn id="27" name="26" totalsRowFunction="count" dataDxfId="681" totalsRowDxfId="680"/>
    <tableColumn id="28" name="27" totalsRowFunction="count" dataDxfId="679" totalsRowDxfId="678"/>
    <tableColumn id="29" name="28" totalsRowFunction="count" dataDxfId="677" totalsRowDxfId="676"/>
    <tableColumn id="30" name="29" totalsRowFunction="count" dataDxfId="675" totalsRowDxfId="674"/>
    <tableColumn id="31" name="30" totalsRowFunction="count" dataDxfId="673" totalsRowDxfId="672"/>
    <tableColumn id="32" name="31" totalsRowFunction="count" dataDxfId="671" totalsRowDxfId="670"/>
    <tableColumn id="33" name="Total Days Traveled" totalsRowFunction="sum" dataDxfId="669" totalsRowDxfId="668">
      <calculatedColumnFormula>COUNTA(Apr[[#This Row],[1]:[31]])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anuar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5.xml><?xml version="1.0" encoding="utf-8"?>
<table xmlns="http://schemas.openxmlformats.org/spreadsheetml/2006/main" id="6" name="May" displayName="May" ref="A73:AG79" totalsRowCount="1" dataDxfId="667">
  <tableColumns count="33">
    <tableColumn id="1" name="👤 Name" totalsRowFunction="custom" dataDxfId="666" totalsRowDxfId="665">
      <totalsRowFormula>A71 &amp; " Total"</totalsRowFormula>
    </tableColumn>
    <tableColumn id="2" name="1" totalsRowFunction="count" dataDxfId="664" totalsRowDxfId="663"/>
    <tableColumn id="3" name="2" totalsRowFunction="count" dataDxfId="662" totalsRowDxfId="661"/>
    <tableColumn id="4" name="3" totalsRowFunction="count" dataDxfId="660" totalsRowDxfId="659"/>
    <tableColumn id="5" name="4" totalsRowFunction="count" dataDxfId="658" totalsRowDxfId="657"/>
    <tableColumn id="6" name="5" totalsRowFunction="count" dataDxfId="656" totalsRowDxfId="655"/>
    <tableColumn id="7" name="6" totalsRowFunction="count" dataDxfId="654" totalsRowDxfId="653"/>
    <tableColumn id="8" name="7" totalsRowFunction="count" dataDxfId="652" totalsRowDxfId="651"/>
    <tableColumn id="9" name="8" totalsRowFunction="count" dataDxfId="650" totalsRowDxfId="649"/>
    <tableColumn id="10" name="9" totalsRowFunction="count" dataDxfId="648" totalsRowDxfId="647"/>
    <tableColumn id="11" name="10" totalsRowFunction="count" dataDxfId="646" totalsRowDxfId="645"/>
    <tableColumn id="12" name="11" totalsRowFunction="count" dataDxfId="644" totalsRowDxfId="643"/>
    <tableColumn id="13" name="12" totalsRowFunction="count" dataDxfId="642" totalsRowDxfId="641"/>
    <tableColumn id="14" name="13" totalsRowFunction="count" dataDxfId="640" totalsRowDxfId="639"/>
    <tableColumn id="15" name="14" totalsRowFunction="count" dataDxfId="638" totalsRowDxfId="637"/>
    <tableColumn id="16" name="15" totalsRowFunction="count" dataDxfId="636" totalsRowDxfId="635"/>
    <tableColumn id="17" name="16" totalsRowFunction="count" dataDxfId="634" totalsRowDxfId="633"/>
    <tableColumn id="18" name="17" totalsRowFunction="count" dataDxfId="632" totalsRowDxfId="631"/>
    <tableColumn id="19" name="18" totalsRowFunction="count" dataDxfId="630" totalsRowDxfId="629"/>
    <tableColumn id="20" name="19" totalsRowFunction="count" dataDxfId="628" totalsRowDxfId="627"/>
    <tableColumn id="21" name="20" totalsRowFunction="count" dataDxfId="626" totalsRowDxfId="625"/>
    <tableColumn id="22" name="21" totalsRowFunction="count" dataDxfId="624" totalsRowDxfId="623"/>
    <tableColumn id="23" name="22" totalsRowFunction="count" dataDxfId="622" totalsRowDxfId="621"/>
    <tableColumn id="24" name="23" totalsRowFunction="count" dataDxfId="620" totalsRowDxfId="619"/>
    <tableColumn id="25" name="24" totalsRowFunction="count" dataDxfId="618" totalsRowDxfId="617"/>
    <tableColumn id="26" name="25" totalsRowFunction="count" dataDxfId="616" totalsRowDxfId="615"/>
    <tableColumn id="27" name="26" totalsRowFunction="count" dataDxfId="614" totalsRowDxfId="613"/>
    <tableColumn id="28" name="27" totalsRowFunction="count" dataDxfId="612" totalsRowDxfId="611"/>
    <tableColumn id="29" name="28" totalsRowFunction="count" dataDxfId="610" totalsRowDxfId="609"/>
    <tableColumn id="30" name="29" totalsRowFunction="count" dataDxfId="608" totalsRowDxfId="607"/>
    <tableColumn id="31" name="30" totalsRowFunction="count" dataDxfId="606" totalsRowDxfId="605"/>
    <tableColumn id="32" name="31" totalsRowFunction="count" dataDxfId="604" totalsRowDxfId="603"/>
    <tableColumn id="33" name="Total Days Traveled" totalsRowFunction="sum" dataDxfId="602" totalsRowDxfId="601">
      <calculatedColumnFormula>COUNTA(May[[#This Row],[1]:[31]])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anuar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6.xml><?xml version="1.0" encoding="utf-8"?>
<table xmlns="http://schemas.openxmlformats.org/spreadsheetml/2006/main" id="7" name="Jun" displayName="Jun" ref="A90:AG96" totalsRowCount="1" dataDxfId="600">
  <tableColumns count="33">
    <tableColumn id="1" name="👤 Name" totalsRowFunction="custom" dataDxfId="599" totalsRowDxfId="598">
      <totalsRowFormula>A88 &amp; " Total"</totalsRowFormula>
    </tableColumn>
    <tableColumn id="2" name="1" totalsRowFunction="count" dataDxfId="597" totalsRowDxfId="596"/>
    <tableColumn id="3" name="2" totalsRowFunction="count" dataDxfId="595" totalsRowDxfId="594"/>
    <tableColumn id="4" name="3" totalsRowFunction="count" dataDxfId="593" totalsRowDxfId="592"/>
    <tableColumn id="5" name="4" totalsRowFunction="count" dataDxfId="591" totalsRowDxfId="590"/>
    <tableColumn id="6" name="5" totalsRowFunction="count" dataDxfId="589" totalsRowDxfId="588"/>
    <tableColumn id="7" name="6" totalsRowFunction="count" dataDxfId="587" totalsRowDxfId="586"/>
    <tableColumn id="8" name="7" totalsRowFunction="count" dataDxfId="585" totalsRowDxfId="584"/>
    <tableColumn id="9" name="8" totalsRowFunction="count" dataDxfId="583" totalsRowDxfId="582"/>
    <tableColumn id="10" name="9" totalsRowFunction="count" dataDxfId="581" totalsRowDxfId="580"/>
    <tableColumn id="11" name="10" totalsRowFunction="count" dataDxfId="579" totalsRowDxfId="578"/>
    <tableColumn id="12" name="11" totalsRowFunction="count" dataDxfId="577" totalsRowDxfId="576"/>
    <tableColumn id="13" name="12" totalsRowFunction="count" dataDxfId="575" totalsRowDxfId="574"/>
    <tableColumn id="14" name="13" totalsRowFunction="count" dataDxfId="573" totalsRowDxfId="572"/>
    <tableColumn id="15" name="14" totalsRowFunction="count" dataDxfId="571" totalsRowDxfId="570"/>
    <tableColumn id="16" name="15" totalsRowFunction="count" dataDxfId="569" totalsRowDxfId="568"/>
    <tableColumn id="17" name="16" totalsRowFunction="count" dataDxfId="567" totalsRowDxfId="566"/>
    <tableColumn id="18" name="17" totalsRowFunction="count" dataDxfId="565" totalsRowDxfId="564"/>
    <tableColumn id="19" name="18" totalsRowFunction="count" dataDxfId="563" totalsRowDxfId="562"/>
    <tableColumn id="20" name="19" totalsRowFunction="count" dataDxfId="561" totalsRowDxfId="560"/>
    <tableColumn id="21" name="20" totalsRowFunction="count" dataDxfId="559" totalsRowDxfId="558"/>
    <tableColumn id="22" name="21" totalsRowFunction="count" dataDxfId="557" totalsRowDxfId="556"/>
    <tableColumn id="23" name="22" totalsRowFunction="count" dataDxfId="555" totalsRowDxfId="554"/>
    <tableColumn id="24" name="23" totalsRowFunction="count" dataDxfId="553" totalsRowDxfId="552"/>
    <tableColumn id="25" name="24" totalsRowFunction="count" dataDxfId="551" totalsRowDxfId="550"/>
    <tableColumn id="26" name="25" totalsRowFunction="count" dataDxfId="549" totalsRowDxfId="548"/>
    <tableColumn id="27" name="26" totalsRowFunction="count" dataDxfId="547" totalsRowDxfId="546"/>
    <tableColumn id="28" name="27" totalsRowFunction="count" dataDxfId="545" totalsRowDxfId="544"/>
    <tableColumn id="29" name="28" totalsRowFunction="count" dataDxfId="543" totalsRowDxfId="542"/>
    <tableColumn id="30" name="29" totalsRowFunction="count" dataDxfId="541" totalsRowDxfId="540"/>
    <tableColumn id="31" name="30" totalsRowFunction="count" dataDxfId="539" totalsRowDxfId="538"/>
    <tableColumn id="32" name="31" totalsRowFunction="count" dataDxfId="537" totalsRowDxfId="536"/>
    <tableColumn id="33" name="Total Days Traveled" totalsRowFunction="sum" dataDxfId="535" totalsRowDxfId="534">
      <calculatedColumnFormula>COUNTA(Jun[[#This Row],[1]:[31]])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anuar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7.xml><?xml version="1.0" encoding="utf-8"?>
<table xmlns="http://schemas.openxmlformats.org/spreadsheetml/2006/main" id="8" name="July" displayName="July" ref="A107:AG113" totalsRowCount="1" dataDxfId="533">
  <tableColumns count="33">
    <tableColumn id="1" name="👤 Name" totalsRowFunction="custom" dataDxfId="532" totalsRowDxfId="531">
      <totalsRowFormula>A105 &amp; " Total"</totalsRowFormula>
    </tableColumn>
    <tableColumn id="2" name="1" totalsRowFunction="count" dataDxfId="530" totalsRowDxfId="529"/>
    <tableColumn id="3" name="2" totalsRowFunction="count" dataDxfId="528" totalsRowDxfId="527"/>
    <tableColumn id="4" name="3" totalsRowFunction="count" dataDxfId="526" totalsRowDxfId="525"/>
    <tableColumn id="5" name="4" totalsRowFunction="count" dataDxfId="524" totalsRowDxfId="523"/>
    <tableColumn id="6" name="5" totalsRowFunction="count" dataDxfId="522" totalsRowDxfId="521"/>
    <tableColumn id="7" name="6" totalsRowFunction="count" dataDxfId="520" totalsRowDxfId="519"/>
    <tableColumn id="8" name="7" totalsRowFunction="count" dataDxfId="518" totalsRowDxfId="517"/>
    <tableColumn id="9" name="8" totalsRowFunction="count" dataDxfId="516" totalsRowDxfId="515"/>
    <tableColumn id="10" name="9" totalsRowFunction="count" dataDxfId="514" totalsRowDxfId="513"/>
    <tableColumn id="11" name="10" totalsRowFunction="count" dataDxfId="512" totalsRowDxfId="511"/>
    <tableColumn id="12" name="11" totalsRowFunction="count" dataDxfId="510" totalsRowDxfId="509"/>
    <tableColumn id="13" name="12" totalsRowFunction="count" dataDxfId="508" totalsRowDxfId="507"/>
    <tableColumn id="14" name="13" totalsRowFunction="count" dataDxfId="506" totalsRowDxfId="505"/>
    <tableColumn id="15" name="14" totalsRowFunction="count" dataDxfId="504" totalsRowDxfId="503"/>
    <tableColumn id="16" name="15" totalsRowFunction="count" dataDxfId="502" totalsRowDxfId="501"/>
    <tableColumn id="17" name="16" totalsRowFunction="count" dataDxfId="500" totalsRowDxfId="499"/>
    <tableColumn id="18" name="17" totalsRowFunction="count" dataDxfId="498" totalsRowDxfId="497"/>
    <tableColumn id="19" name="18" totalsRowFunction="count" dataDxfId="496" totalsRowDxfId="495"/>
    <tableColumn id="20" name="19" totalsRowFunction="count" dataDxfId="494" totalsRowDxfId="493"/>
    <tableColumn id="21" name="20" totalsRowFunction="count" dataDxfId="492" totalsRowDxfId="491"/>
    <tableColumn id="22" name="21" totalsRowFunction="count" dataDxfId="490" totalsRowDxfId="489"/>
    <tableColumn id="23" name="22" totalsRowFunction="count" dataDxfId="488" totalsRowDxfId="487"/>
    <tableColumn id="24" name="23" totalsRowFunction="count" dataDxfId="486" totalsRowDxfId="485"/>
    <tableColumn id="25" name="24" totalsRowFunction="count" dataDxfId="484" totalsRowDxfId="483"/>
    <tableColumn id="26" name="25" totalsRowFunction="count" dataDxfId="482" totalsRowDxfId="481"/>
    <tableColumn id="27" name="26" totalsRowFunction="count" dataDxfId="480" totalsRowDxfId="479"/>
    <tableColumn id="28" name="27" totalsRowFunction="count" dataDxfId="478" totalsRowDxfId="477"/>
    <tableColumn id="29" name="28" totalsRowFunction="count" dataDxfId="476" totalsRowDxfId="475"/>
    <tableColumn id="30" name="29" totalsRowFunction="count" dataDxfId="474" totalsRowDxfId="473"/>
    <tableColumn id="31" name="30" totalsRowFunction="count" dataDxfId="472" totalsRowDxfId="471"/>
    <tableColumn id="32" name="31" totalsRowFunction="count" dataDxfId="470" totalsRowDxfId="469"/>
    <tableColumn id="33" name="Total Days Traveled" totalsRowFunction="sum" dataDxfId="468" totalsRowDxfId="467">
      <calculatedColumnFormula>COUNTA(July[[#This Row],[1]:[31]])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anuar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8.xml><?xml version="1.0" encoding="utf-8"?>
<table xmlns="http://schemas.openxmlformats.org/spreadsheetml/2006/main" id="9" name="Aug" displayName="Aug" ref="A124:AG130" totalsRowCount="1" dataDxfId="466">
  <tableColumns count="33">
    <tableColumn id="1" name="👤 Name" totalsRowFunction="custom" dataDxfId="465" totalsRowDxfId="464">
      <totalsRowFormula>A122 &amp; " Total"</totalsRowFormula>
    </tableColumn>
    <tableColumn id="2" name="1" totalsRowFunction="count" dataDxfId="463" totalsRowDxfId="462"/>
    <tableColumn id="3" name="2" totalsRowFunction="count" dataDxfId="461" totalsRowDxfId="460"/>
    <tableColumn id="4" name="3" totalsRowFunction="count" dataDxfId="459" totalsRowDxfId="458"/>
    <tableColumn id="5" name="4" totalsRowFunction="count" dataDxfId="457" totalsRowDxfId="456"/>
    <tableColumn id="6" name="5" totalsRowFunction="count" dataDxfId="455" totalsRowDxfId="454"/>
    <tableColumn id="7" name="6" totalsRowFunction="count" dataDxfId="453" totalsRowDxfId="452"/>
    <tableColumn id="8" name="7" totalsRowFunction="count" dataDxfId="451" totalsRowDxfId="450"/>
    <tableColumn id="9" name="8" totalsRowFunction="count" dataDxfId="449" totalsRowDxfId="448"/>
    <tableColumn id="10" name="9" totalsRowFunction="count" dataDxfId="447" totalsRowDxfId="446"/>
    <tableColumn id="11" name="10" totalsRowFunction="count" dataDxfId="445" totalsRowDxfId="444"/>
    <tableColumn id="12" name="11" totalsRowFunction="count" dataDxfId="443" totalsRowDxfId="442"/>
    <tableColumn id="13" name="12" totalsRowFunction="count" dataDxfId="441" totalsRowDxfId="440"/>
    <tableColumn id="14" name="13" totalsRowFunction="count" dataDxfId="439" totalsRowDxfId="438"/>
    <tableColumn id="15" name="14" totalsRowFunction="count" dataDxfId="437" totalsRowDxfId="436"/>
    <tableColumn id="16" name="15" totalsRowFunction="count" dataDxfId="435" totalsRowDxfId="434"/>
    <tableColumn id="17" name="16" totalsRowFunction="count" dataDxfId="433" totalsRowDxfId="432"/>
    <tableColumn id="18" name="17" totalsRowFunction="count" dataDxfId="431" totalsRowDxfId="430"/>
    <tableColumn id="19" name="18" totalsRowFunction="count" dataDxfId="429" totalsRowDxfId="428"/>
    <tableColumn id="20" name="19" totalsRowFunction="count" dataDxfId="427" totalsRowDxfId="426"/>
    <tableColumn id="21" name="20" totalsRowFunction="count" dataDxfId="425" totalsRowDxfId="424"/>
    <tableColumn id="22" name="21" totalsRowFunction="count" dataDxfId="423" totalsRowDxfId="422"/>
    <tableColumn id="23" name="22" totalsRowFunction="count" dataDxfId="421" totalsRowDxfId="420"/>
    <tableColumn id="24" name="23" totalsRowFunction="count" dataDxfId="419" totalsRowDxfId="418"/>
    <tableColumn id="25" name="24" totalsRowFunction="count" dataDxfId="417" totalsRowDxfId="416"/>
    <tableColumn id="26" name="25" totalsRowFunction="count" dataDxfId="415" totalsRowDxfId="414"/>
    <tableColumn id="27" name="26" totalsRowFunction="count" dataDxfId="413" totalsRowDxfId="412"/>
    <tableColumn id="28" name="27" totalsRowFunction="count" dataDxfId="411" totalsRowDxfId="410"/>
    <tableColumn id="29" name="28" totalsRowFunction="count" dataDxfId="409" totalsRowDxfId="408"/>
    <tableColumn id="30" name="29" totalsRowFunction="count" dataDxfId="407" totalsRowDxfId="406"/>
    <tableColumn id="31" name="30" totalsRowFunction="count" dataDxfId="405" totalsRowDxfId="404"/>
    <tableColumn id="32" name="31" totalsRowFunction="count" dataDxfId="403" totalsRowDxfId="402"/>
    <tableColumn id="33" name="Total Days Traveled" totalsRowFunction="sum" dataDxfId="401" totalsRowDxfId="400">
      <calculatedColumnFormula>COUNTA(Aug[[#This Row],[1]:[31]])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anuar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9.xml><?xml version="1.0" encoding="utf-8"?>
<table xmlns="http://schemas.openxmlformats.org/spreadsheetml/2006/main" id="10" name="Sept" displayName="Sept" ref="A141:AG147" totalsRowCount="1" dataDxfId="399">
  <tableColumns count="33">
    <tableColumn id="1" name="👤 Name" totalsRowFunction="custom" dataDxfId="398" totalsRowDxfId="397">
      <totalsRowFormula>A139 &amp; " Total"</totalsRowFormula>
    </tableColumn>
    <tableColumn id="2" name="1" totalsRowFunction="count" dataDxfId="396" totalsRowDxfId="395"/>
    <tableColumn id="3" name="2" totalsRowFunction="count" dataDxfId="394" totalsRowDxfId="393"/>
    <tableColumn id="4" name="3" totalsRowFunction="count" dataDxfId="392" totalsRowDxfId="391"/>
    <tableColumn id="5" name="4" totalsRowFunction="count" dataDxfId="390" totalsRowDxfId="389"/>
    <tableColumn id="6" name="5" totalsRowFunction="count" dataDxfId="388" totalsRowDxfId="387"/>
    <tableColumn id="7" name="6" totalsRowFunction="count" dataDxfId="386" totalsRowDxfId="385"/>
    <tableColumn id="8" name="7" totalsRowFunction="count" dataDxfId="384" totalsRowDxfId="383"/>
    <tableColumn id="9" name="8" totalsRowFunction="count" dataDxfId="382" totalsRowDxfId="381"/>
    <tableColumn id="10" name="9" totalsRowFunction="count" dataDxfId="380" totalsRowDxfId="379"/>
    <tableColumn id="11" name="10" totalsRowFunction="count" dataDxfId="378" totalsRowDxfId="377"/>
    <tableColumn id="12" name="11" totalsRowFunction="count" dataDxfId="376" totalsRowDxfId="375"/>
    <tableColumn id="13" name="12" totalsRowFunction="count" dataDxfId="374" totalsRowDxfId="373"/>
    <tableColumn id="14" name="13" totalsRowFunction="count" dataDxfId="372" totalsRowDxfId="371"/>
    <tableColumn id="15" name="14" totalsRowFunction="count" dataDxfId="370" totalsRowDxfId="369"/>
    <tableColumn id="16" name="15" totalsRowFunction="count" dataDxfId="368" totalsRowDxfId="367"/>
    <tableColumn id="17" name="16" totalsRowFunction="count" dataDxfId="366" totalsRowDxfId="365"/>
    <tableColumn id="18" name="17" totalsRowFunction="count" dataDxfId="364" totalsRowDxfId="363"/>
    <tableColumn id="19" name="18" totalsRowFunction="count" dataDxfId="362" totalsRowDxfId="361"/>
    <tableColumn id="20" name="19" totalsRowFunction="count" dataDxfId="360" totalsRowDxfId="359"/>
    <tableColumn id="21" name="20" totalsRowFunction="count" dataDxfId="358" totalsRowDxfId="357"/>
    <tableColumn id="22" name="21" totalsRowFunction="count" dataDxfId="356" totalsRowDxfId="355"/>
    <tableColumn id="23" name="22" totalsRowFunction="count" dataDxfId="354" totalsRowDxfId="353"/>
    <tableColumn id="24" name="23" totalsRowFunction="count" dataDxfId="352" totalsRowDxfId="351"/>
    <tableColumn id="25" name="24" totalsRowFunction="count" dataDxfId="350" totalsRowDxfId="349"/>
    <tableColumn id="26" name="25" totalsRowFunction="count" dataDxfId="348" totalsRowDxfId="347"/>
    <tableColumn id="27" name="26" totalsRowFunction="count" dataDxfId="346" totalsRowDxfId="345"/>
    <tableColumn id="28" name="27" totalsRowFunction="count" dataDxfId="344" totalsRowDxfId="343"/>
    <tableColumn id="29" name="28" totalsRowFunction="count" dataDxfId="342" totalsRowDxfId="341"/>
    <tableColumn id="30" name="29" totalsRowFunction="count" dataDxfId="340" totalsRowDxfId="339"/>
    <tableColumn id="31" name="30" totalsRowFunction="count" dataDxfId="338" totalsRowDxfId="337"/>
    <tableColumn id="32" name="31" totalsRowFunction="count" dataDxfId="336" totalsRowDxfId="335"/>
    <tableColumn id="33" name="Total Days Traveled" totalsRowFunction="sum" dataDxfId="334" totalsRowDxfId="333">
      <calculatedColumnFormula>COUNTA(Sept[[#This Row],[1]:[31]])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anuar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10.xml><?xml version="1.0" encoding="utf-8"?>
<table xmlns="http://schemas.openxmlformats.org/spreadsheetml/2006/main" id="11" name="Oct" displayName="Oct" ref="A158:AG164" totalsRowCount="1" dataDxfId="332">
  <tableColumns count="33">
    <tableColumn id="1" name="👤 Name" totalsRowFunction="custom" dataDxfId="331" totalsRowDxfId="330">
      <totalsRowFormula>A156 &amp; " Total"</totalsRowFormula>
    </tableColumn>
    <tableColumn id="2" name="1" totalsRowFunction="count" dataDxfId="329" totalsRowDxfId="328"/>
    <tableColumn id="3" name="2" totalsRowFunction="count" dataDxfId="327" totalsRowDxfId="326"/>
    <tableColumn id="4" name="3" totalsRowFunction="count" dataDxfId="325" totalsRowDxfId="324"/>
    <tableColumn id="5" name="4" totalsRowFunction="count" dataDxfId="323" totalsRowDxfId="322"/>
    <tableColumn id="6" name="5" totalsRowFunction="count" dataDxfId="321" totalsRowDxfId="320"/>
    <tableColumn id="7" name="6" totalsRowFunction="count" dataDxfId="319" totalsRowDxfId="318"/>
    <tableColumn id="8" name="7" totalsRowFunction="count" dataDxfId="317" totalsRowDxfId="316"/>
    <tableColumn id="9" name="8" totalsRowFunction="count" dataDxfId="315" totalsRowDxfId="314"/>
    <tableColumn id="10" name="9" totalsRowFunction="count" dataDxfId="313" totalsRowDxfId="312"/>
    <tableColumn id="11" name="10" totalsRowFunction="count" dataDxfId="311" totalsRowDxfId="310"/>
    <tableColumn id="12" name="11" totalsRowFunction="count" dataDxfId="309" totalsRowDxfId="308"/>
    <tableColumn id="13" name="12" totalsRowFunction="count" dataDxfId="307" totalsRowDxfId="306"/>
    <tableColumn id="14" name="13" totalsRowFunction="count" dataDxfId="305" totalsRowDxfId="304"/>
    <tableColumn id="15" name="14" totalsRowFunction="count" dataDxfId="303" totalsRowDxfId="302"/>
    <tableColumn id="16" name="15" totalsRowFunction="count" dataDxfId="301" totalsRowDxfId="300"/>
    <tableColumn id="17" name="16" totalsRowFunction="count" dataDxfId="299" totalsRowDxfId="298"/>
    <tableColumn id="18" name="17" totalsRowFunction="count" dataDxfId="297" totalsRowDxfId="296"/>
    <tableColumn id="19" name="18" totalsRowFunction="count" dataDxfId="295" totalsRowDxfId="294"/>
    <tableColumn id="20" name="19" totalsRowFunction="count" dataDxfId="293" totalsRowDxfId="292"/>
    <tableColumn id="21" name="20" totalsRowFunction="count" dataDxfId="291" totalsRowDxfId="290"/>
    <tableColumn id="22" name="21" totalsRowFunction="count" dataDxfId="289" totalsRowDxfId="288"/>
    <tableColumn id="23" name="22" totalsRowFunction="count" dataDxfId="287" totalsRowDxfId="286"/>
    <tableColumn id="24" name="23" totalsRowFunction="count" dataDxfId="285" totalsRowDxfId="284"/>
    <tableColumn id="25" name="24" totalsRowFunction="count" dataDxfId="283" totalsRowDxfId="282"/>
    <tableColumn id="26" name="25" totalsRowFunction="count" dataDxfId="281" totalsRowDxfId="280"/>
    <tableColumn id="27" name="26" totalsRowFunction="count" dataDxfId="279" totalsRowDxfId="278"/>
    <tableColumn id="28" name="27" totalsRowFunction="count" dataDxfId="277" totalsRowDxfId="276"/>
    <tableColumn id="29" name="28" totalsRowFunction="count" dataDxfId="275" totalsRowDxfId="274"/>
    <tableColumn id="30" name="29" totalsRowFunction="count" dataDxfId="273" totalsRowDxfId="272"/>
    <tableColumn id="31" name="30" totalsRowFunction="count" dataDxfId="271" totalsRowDxfId="270"/>
    <tableColumn id="32" name="31" totalsRowFunction="count" dataDxfId="269" totalsRowDxfId="268"/>
    <tableColumn id="33" name="Total Days Traveled" totalsRowFunction="sum" dataDxfId="267" totalsRowDxfId="266">
      <calculatedColumnFormula>COUNTA(Oct[[#This Row],[1]:[31]])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anuar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11.xml><?xml version="1.0" encoding="utf-8"?>
<table xmlns="http://schemas.openxmlformats.org/spreadsheetml/2006/main" id="12" name="Nov" displayName="Nov" ref="A175:AG181" totalsRowCount="1" dataDxfId="265">
  <tableColumns count="33">
    <tableColumn id="1" name="👤 Name" totalsRowFunction="custom" dataDxfId="264" totalsRowDxfId="263">
      <totalsRowFormula>A173 &amp; " Total"</totalsRowFormula>
    </tableColumn>
    <tableColumn id="2" name="1" totalsRowFunction="count" dataDxfId="262" totalsRowDxfId="261"/>
    <tableColumn id="3" name="2" totalsRowFunction="count" dataDxfId="260" totalsRowDxfId="259"/>
    <tableColumn id="4" name="3" totalsRowFunction="count" dataDxfId="258" totalsRowDxfId="257"/>
    <tableColumn id="5" name="4" totalsRowFunction="count" dataDxfId="256" totalsRowDxfId="255"/>
    <tableColumn id="6" name="5" totalsRowFunction="count" dataDxfId="254" totalsRowDxfId="253"/>
    <tableColumn id="7" name="6" totalsRowFunction="count" dataDxfId="252" totalsRowDxfId="251"/>
    <tableColumn id="8" name="7" totalsRowFunction="count" dataDxfId="250" totalsRowDxfId="249"/>
    <tableColumn id="9" name="8" totalsRowFunction="count" dataDxfId="248" totalsRowDxfId="247"/>
    <tableColumn id="10" name="9" totalsRowFunction="count" dataDxfId="246" totalsRowDxfId="245"/>
    <tableColumn id="11" name="10" totalsRowFunction="count" dataDxfId="244" totalsRowDxfId="243"/>
    <tableColumn id="12" name="11" totalsRowFunction="count" dataDxfId="242" totalsRowDxfId="241"/>
    <tableColumn id="13" name="12" totalsRowFunction="count" dataDxfId="240" totalsRowDxfId="239"/>
    <tableColumn id="14" name="13" totalsRowFunction="count" dataDxfId="238" totalsRowDxfId="237"/>
    <tableColumn id="15" name="14" totalsRowFunction="count" dataDxfId="236" totalsRowDxfId="235"/>
    <tableColumn id="16" name="15" totalsRowFunction="count" dataDxfId="234" totalsRowDxfId="233"/>
    <tableColumn id="17" name="16" totalsRowFunction="count" dataDxfId="232" totalsRowDxfId="231"/>
    <tableColumn id="18" name="17" totalsRowFunction="count" dataDxfId="230" totalsRowDxfId="229"/>
    <tableColumn id="19" name="18" totalsRowFunction="count" dataDxfId="228" totalsRowDxfId="227"/>
    <tableColumn id="20" name="19" totalsRowFunction="count" dataDxfId="226" totalsRowDxfId="225"/>
    <tableColumn id="21" name="20" totalsRowFunction="count" dataDxfId="224" totalsRowDxfId="223"/>
    <tableColumn id="22" name="21" totalsRowFunction="count" dataDxfId="222" totalsRowDxfId="221"/>
    <tableColumn id="23" name="22" totalsRowFunction="count" dataDxfId="220" totalsRowDxfId="219"/>
    <tableColumn id="24" name="23" totalsRowFunction="count" dataDxfId="218" totalsRowDxfId="217"/>
    <tableColumn id="25" name="24" totalsRowFunction="count" dataDxfId="216" totalsRowDxfId="215"/>
    <tableColumn id="26" name="25" totalsRowFunction="count" dataDxfId="214" totalsRowDxfId="213"/>
    <tableColumn id="27" name="26" totalsRowFunction="count" dataDxfId="212" totalsRowDxfId="211"/>
    <tableColumn id="28" name="27" totalsRowFunction="count" dataDxfId="210" totalsRowDxfId="209"/>
    <tableColumn id="29" name="28" totalsRowFunction="count" dataDxfId="208" totalsRowDxfId="207"/>
    <tableColumn id="30" name="29" totalsRowFunction="count" dataDxfId="206" totalsRowDxfId="205"/>
    <tableColumn id="31" name="30" totalsRowFunction="count" dataDxfId="204" totalsRowDxfId="203"/>
    <tableColumn id="32" name="31" totalsRowFunction="count" dataDxfId="202" totalsRowDxfId="201"/>
    <tableColumn id="33" name="Total Days Traveled" totalsRowFunction="sum" dataDxfId="200" totalsRowDxfId="199">
      <calculatedColumnFormula>COUNTA(Nov[[#This Row],[1]:[31]])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anuar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12.xml><?xml version="1.0" encoding="utf-8"?>
<table xmlns="http://schemas.openxmlformats.org/spreadsheetml/2006/main" id="13" name="Dec" displayName="Dec" ref="A192:AG198" totalsRowCount="1" dataDxfId="198">
  <tableColumns count="33">
    <tableColumn id="1" name="👤 Name" totalsRowFunction="custom" dataDxfId="197" totalsRowDxfId="196">
      <totalsRowFormula>A190 &amp; " Total"</totalsRowFormula>
    </tableColumn>
    <tableColumn id="2" name="1" totalsRowFunction="count" dataDxfId="195" totalsRowDxfId="194"/>
    <tableColumn id="3" name="2" totalsRowFunction="count" dataDxfId="193" totalsRowDxfId="192"/>
    <tableColumn id="4" name="3" totalsRowFunction="count" dataDxfId="191" totalsRowDxfId="190"/>
    <tableColumn id="5" name="4" totalsRowFunction="count" dataDxfId="189" totalsRowDxfId="188"/>
    <tableColumn id="6" name="5" totalsRowFunction="count" dataDxfId="187" totalsRowDxfId="186"/>
    <tableColumn id="7" name="6" totalsRowFunction="count" dataDxfId="185" totalsRowDxfId="184"/>
    <tableColumn id="8" name="7" totalsRowFunction="count" dataDxfId="183" totalsRowDxfId="182"/>
    <tableColumn id="9" name="8" totalsRowFunction="count" dataDxfId="181" totalsRowDxfId="180"/>
    <tableColumn id="10" name="9" totalsRowFunction="count" dataDxfId="179" totalsRowDxfId="178"/>
    <tableColumn id="11" name="10" totalsRowFunction="count" dataDxfId="177" totalsRowDxfId="176"/>
    <tableColumn id="12" name="11" totalsRowFunction="count" dataDxfId="175" totalsRowDxfId="174"/>
    <tableColumn id="13" name="12" totalsRowFunction="count" dataDxfId="173" totalsRowDxfId="172"/>
    <tableColumn id="14" name="13" totalsRowFunction="count" dataDxfId="171" totalsRowDxfId="170"/>
    <tableColumn id="15" name="14" totalsRowFunction="count" dataDxfId="169" totalsRowDxfId="168"/>
    <tableColumn id="16" name="15" totalsRowFunction="count" dataDxfId="167" totalsRowDxfId="166"/>
    <tableColumn id="17" name="16" totalsRowFunction="count" dataDxfId="165" totalsRowDxfId="164"/>
    <tableColumn id="18" name="17" totalsRowFunction="count" dataDxfId="163" totalsRowDxfId="162"/>
    <tableColumn id="19" name="18" totalsRowFunction="count" dataDxfId="161" totalsRowDxfId="160"/>
    <tableColumn id="20" name="19" totalsRowFunction="count" dataDxfId="159" totalsRowDxfId="158"/>
    <tableColumn id="21" name="20" totalsRowFunction="count" dataDxfId="157" totalsRowDxfId="156"/>
    <tableColumn id="22" name="21" totalsRowFunction="count" dataDxfId="155" totalsRowDxfId="154"/>
    <tableColumn id="23" name="22" totalsRowFunction="count" dataDxfId="153" totalsRowDxfId="152"/>
    <tableColumn id="24" name="23" totalsRowFunction="count" dataDxfId="151" totalsRowDxfId="150"/>
    <tableColumn id="25" name="24" totalsRowFunction="count" dataDxfId="149" totalsRowDxfId="148"/>
    <tableColumn id="26" name="25" totalsRowFunction="count" dataDxfId="147" totalsRowDxfId="146"/>
    <tableColumn id="27" name="26" totalsRowFunction="count" dataDxfId="145" totalsRowDxfId="144"/>
    <tableColumn id="28" name="27" totalsRowFunction="count" dataDxfId="143" totalsRowDxfId="142"/>
    <tableColumn id="29" name="28" totalsRowFunction="count" dataDxfId="141" totalsRowDxfId="140"/>
    <tableColumn id="30" name="29" totalsRowFunction="count" dataDxfId="139" totalsRowDxfId="138"/>
    <tableColumn id="31" name="30" totalsRowFunction="count" dataDxfId="137" totalsRowDxfId="136"/>
    <tableColumn id="32" name="31" totalsRowFunction="count" dataDxfId="135" totalsRowDxfId="134"/>
    <tableColumn id="33" name="Total Days Traveled" totalsRowFunction="sum" dataDxfId="133" totalsRowDxfId="132">
      <calculatedColumnFormula>COUNTA(Dec[[#This Row],[1]:[31]])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anuar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13.xml><?xml version="1.0" encoding="utf-8"?>
<table xmlns="http://schemas.openxmlformats.org/spreadsheetml/2006/main" id="2" name="Monthly3" displayName="Monthly3" ref="A5:M9" totalsRowCount="1" dataDxfId="84">
  <tableColumns count="13">
    <tableColumn id="1" name="👤 Executive Name" totalsRowLabel="Monthly Summary Total" totalsRowDxfId="45"/>
    <tableColumn id="2" name="1" totalsRowFunction="count" dataDxfId="83" totalsRowDxfId="44"/>
    <tableColumn id="3" name="2" totalsRowFunction="count" dataDxfId="82" totalsRowDxfId="43"/>
    <tableColumn id="4" name="3" totalsRowFunction="count" dataDxfId="81" totalsRowDxfId="42"/>
    <tableColumn id="5" name="4" totalsRowFunction="count" dataDxfId="80" totalsRowDxfId="41"/>
    <tableColumn id="6" name="5" totalsRowFunction="count" dataDxfId="79" totalsRowDxfId="40"/>
    <tableColumn id="7" name="6" totalsRowFunction="count" dataDxfId="78" totalsRowDxfId="39"/>
    <tableColumn id="8" name="7" totalsRowFunction="count" dataDxfId="77" totalsRowDxfId="38"/>
    <tableColumn id="9" name="8" totalsRowFunction="count" dataDxfId="76" totalsRowDxfId="37"/>
    <tableColumn id="10" name="9" totalsRowFunction="count" dataDxfId="75" totalsRowDxfId="36"/>
    <tableColumn id="11" name="10" totalsRowFunction="count" dataDxfId="74" totalsRowDxfId="35"/>
    <tableColumn id="12" name="11" totalsRowFunction="count" dataDxfId="73" totalsRowDxfId="34"/>
    <tableColumn id="13" name="12" totalsRowFunction="count" dataDxfId="72" totalsRowDxfId="33"/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anuar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14.xml><?xml version="1.0" encoding="utf-8"?>
<table xmlns="http://schemas.openxmlformats.org/spreadsheetml/2006/main" id="14" name="Monthly315" displayName="Monthly315" ref="A19:M23" totalsRowCount="1" dataDxfId="71">
  <tableColumns count="13">
    <tableColumn id="1" name="👤 Executive Name" totalsRowLabel="Monthly Summary Total" totalsRowDxfId="70"/>
    <tableColumn id="2" name="1" totalsRowFunction="count" dataDxfId="69" totalsRowDxfId="68"/>
    <tableColumn id="3" name="2" totalsRowFunction="count" dataDxfId="67" totalsRowDxfId="66"/>
    <tableColumn id="4" name="3" totalsRowFunction="count" dataDxfId="65" totalsRowDxfId="64"/>
    <tableColumn id="5" name="4" totalsRowFunction="count" dataDxfId="63" totalsRowDxfId="62"/>
    <tableColumn id="6" name="5" totalsRowFunction="count" dataDxfId="61" totalsRowDxfId="60"/>
    <tableColumn id="7" name="6" totalsRowFunction="count" dataDxfId="59" totalsRowDxfId="58"/>
    <tableColumn id="8" name="7" totalsRowFunction="count" dataDxfId="57" totalsRowDxfId="56"/>
    <tableColumn id="9" name="8" totalsRowFunction="count" dataDxfId="55" totalsRowDxfId="54"/>
    <tableColumn id="10" name="9" totalsRowFunction="count" dataDxfId="53" totalsRowDxfId="52"/>
    <tableColumn id="11" name="10" totalsRowFunction="count" dataDxfId="51" totalsRowDxfId="50"/>
    <tableColumn id="12" name="11" totalsRowFunction="count" dataDxfId="49" totalsRowDxfId="48"/>
    <tableColumn id="13" name="12" totalsRowFunction="count" dataDxfId="47" totalsRowDxfId="46"/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anuar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heme/theme1.xml><?xml version="1.0" encoding="utf-8"?>
<a:theme xmlns:a="http://schemas.openxmlformats.org/drawingml/2006/main" name="Office Theme">
  <a:themeElements>
    <a:clrScheme name="Employee Absence Schedule">
      <a:dk1>
        <a:sysClr val="windowText" lastClr="000000"/>
      </a:dk1>
      <a:lt1>
        <a:sysClr val="window" lastClr="FFFFFF"/>
      </a:lt1>
      <a:dk2>
        <a:srgbClr val="4B180E"/>
      </a:dk2>
      <a:lt2>
        <a:srgbClr val="F1F2E8"/>
      </a:lt2>
      <a:accent1>
        <a:srgbClr val="A53423"/>
      </a:accent1>
      <a:accent2>
        <a:srgbClr val="E68130"/>
      </a:accent2>
      <a:accent3>
        <a:srgbClr val="9BB05D"/>
      </a:accent3>
      <a:accent4>
        <a:srgbClr val="CC9900"/>
      </a:accent4>
      <a:accent5>
        <a:srgbClr val="4F66AF"/>
      </a:accent5>
      <a:accent6>
        <a:srgbClr val="D0D2D3"/>
      </a:accent6>
      <a:hlink>
        <a:srgbClr val="4F66AF"/>
      </a:hlink>
      <a:folHlink>
        <a:srgbClr val="6B9AC6"/>
      </a:folHlink>
    </a:clrScheme>
    <a:fontScheme name="Employee Absence Schedul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1.xml"/><Relationship Id="rId16" Type="http://schemas.openxmlformats.org/officeDocument/2006/relationships/comments" Target="../comments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table" Target="../tables/table1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5"/>
  <sheetViews>
    <sheetView workbookViewId="0">
      <selection activeCell="E5" sqref="E5"/>
    </sheetView>
  </sheetViews>
  <sheetFormatPr defaultRowHeight="14.5" x14ac:dyDescent="0.35"/>
  <cols>
    <col min="3" max="3" width="24.453125" customWidth="1"/>
    <col min="4" max="4" width="19.7265625" customWidth="1"/>
    <col min="5" max="5" width="18.453125" customWidth="1"/>
    <col min="6" max="6" width="22.26953125" customWidth="1"/>
  </cols>
  <sheetData>
    <row r="3" spans="3:6" x14ac:dyDescent="0.35">
      <c r="C3" t="s">
        <v>36</v>
      </c>
    </row>
    <row r="4" spans="3:6" x14ac:dyDescent="0.35">
      <c r="D4" s="28" t="s">
        <v>32</v>
      </c>
      <c r="E4" s="28" t="s">
        <v>33</v>
      </c>
      <c r="F4" s="28" t="s">
        <v>34</v>
      </c>
    </row>
    <row r="5" spans="3:6" x14ac:dyDescent="0.35">
      <c r="C5" t="s">
        <v>35</v>
      </c>
      <c r="D5" t="e">
        <f>SUM(Jan[[#Totals],[Total Days Traveled]],#REF!,#REF!,#REF!,#REF!,#REF!,#REF!,#REF!,#REF!,#REF!,#REF!,#REF!)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H1400"/>
  <sheetViews>
    <sheetView showGridLines="0" zoomScale="107" zoomScaleNormal="107" workbookViewId="0">
      <pane xSplit="33" ySplit="2" topLeftCell="AH18" activePane="bottomRight" state="frozen"/>
      <selection pane="topRight" activeCell="AH1" sqref="AH1"/>
      <selection pane="bottomLeft" activeCell="A3" sqref="A3"/>
      <selection pane="bottomRight" activeCell="F36" sqref="F36"/>
    </sheetView>
  </sheetViews>
  <sheetFormatPr defaultColWidth="9.1796875" defaultRowHeight="15" customHeight="1" x14ac:dyDescent="0.25"/>
  <cols>
    <col min="1" max="1" width="26.1796875" style="82" customWidth="1"/>
    <col min="2" max="6" width="4" style="10" customWidth="1"/>
    <col min="7" max="7" width="3.81640625" style="10" customWidth="1"/>
    <col min="8" max="32" width="4" style="10" customWidth="1"/>
    <col min="33" max="33" width="17.36328125" style="9" bestFit="1" customWidth="1"/>
    <col min="34" max="34" width="9.1796875" style="10"/>
    <col min="35" max="16384" width="9.1796875" style="11"/>
  </cols>
  <sheetData>
    <row r="1" spans="1:34" s="23" customFormat="1" ht="44" customHeight="1" x14ac:dyDescent="0.35">
      <c r="A1" s="85" t="s">
        <v>54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18"/>
      <c r="Y1" s="18"/>
      <c r="Z1" s="18"/>
      <c r="AA1" s="18"/>
      <c r="AB1" s="18"/>
      <c r="AC1" s="19"/>
      <c r="AD1" s="19"/>
      <c r="AE1" s="20"/>
      <c r="AF1" s="21"/>
      <c r="AG1" s="21"/>
      <c r="AH1" s="22"/>
    </row>
    <row r="2" spans="1:34" s="23" customFormat="1" ht="50.25" customHeight="1" x14ac:dyDescent="0.35">
      <c r="A2" s="7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9"/>
      <c r="AD2" s="19"/>
      <c r="AE2" s="20"/>
      <c r="AF2" s="21"/>
      <c r="AG2" s="21"/>
      <c r="AH2" s="22"/>
    </row>
    <row r="3" spans="1:34" s="4" customFormat="1" ht="30" customHeight="1" x14ac:dyDescent="0.35">
      <c r="A3" s="87" t="s">
        <v>59</v>
      </c>
      <c r="B3" s="89" t="s">
        <v>38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>
        <v>2025</v>
      </c>
      <c r="AH3" s="3"/>
    </row>
    <row r="4" spans="1:34" s="6" customFormat="1" ht="15.75" customHeight="1" x14ac:dyDescent="0.3">
      <c r="A4" s="88"/>
      <c r="B4" s="29" t="str">
        <f>TEXT(WEEKDAY(DATE(CalendarYear,1,1),1),"aaa")</f>
        <v>Wed</v>
      </c>
      <c r="C4" s="30" t="str">
        <f>TEXT(WEEKDAY(DATE(CalendarYear,1,2),1),"aaa")</f>
        <v>Thu</v>
      </c>
      <c r="D4" s="30" t="str">
        <f>TEXT(WEEKDAY(DATE(CalendarYear,1,3),1),"aaa")</f>
        <v>Fri</v>
      </c>
      <c r="E4" s="30" t="str">
        <f>TEXT(WEEKDAY(DATE(CalendarYear,1,4),1),"aaa")</f>
        <v>Sat</v>
      </c>
      <c r="F4" s="30" t="str">
        <f>TEXT(WEEKDAY(DATE(CalendarYear,1,5),1),"aaa")</f>
        <v>Sun</v>
      </c>
      <c r="G4" s="30" t="str">
        <f>TEXT(WEEKDAY(DATE(CalendarYear,1,6),1),"aaa")</f>
        <v>Mon</v>
      </c>
      <c r="H4" s="30" t="str">
        <f>TEXT(WEEKDAY(DATE(CalendarYear,1,7),1),"aaa")</f>
        <v>Tue</v>
      </c>
      <c r="I4" s="30" t="str">
        <f>TEXT(WEEKDAY(DATE(CalendarYear,1,8),1),"aaa")</f>
        <v>Wed</v>
      </c>
      <c r="J4" s="30" t="str">
        <f>TEXT(WEEKDAY(DATE(CalendarYear,1,9),1),"aaa")</f>
        <v>Thu</v>
      </c>
      <c r="K4" s="30" t="str">
        <f>TEXT(WEEKDAY(DATE(CalendarYear,1,10),1),"aaa")</f>
        <v>Fri</v>
      </c>
      <c r="L4" s="30" t="str">
        <f>TEXT(WEEKDAY(DATE(CalendarYear,1,11),1),"aaa")</f>
        <v>Sat</v>
      </c>
      <c r="M4" s="30" t="str">
        <f>TEXT(WEEKDAY(DATE(CalendarYear,1,12),1),"aaa")</f>
        <v>Sun</v>
      </c>
      <c r="N4" s="30" t="str">
        <f>TEXT(WEEKDAY(DATE(CalendarYear,1,13),1),"aaa")</f>
        <v>Mon</v>
      </c>
      <c r="O4" s="30" t="str">
        <f>TEXT(WEEKDAY(DATE(CalendarYear,1,14),1),"aaa")</f>
        <v>Tue</v>
      </c>
      <c r="P4" s="30" t="str">
        <f>TEXT(WEEKDAY(DATE(CalendarYear,1,15),1),"aaa")</f>
        <v>Wed</v>
      </c>
      <c r="Q4" s="30" t="str">
        <f>TEXT(WEEKDAY(DATE(CalendarYear,1,16),1),"aaa")</f>
        <v>Thu</v>
      </c>
      <c r="R4" s="30" t="str">
        <f>TEXT(WEEKDAY(DATE(CalendarYear,1,17),1),"aaa")</f>
        <v>Fri</v>
      </c>
      <c r="S4" s="30" t="str">
        <f>TEXT(WEEKDAY(DATE(CalendarYear,1,18),1),"aaa")</f>
        <v>Sat</v>
      </c>
      <c r="T4" s="30" t="str">
        <f>TEXT(WEEKDAY(DATE(CalendarYear,1,19),1),"aaa")</f>
        <v>Sun</v>
      </c>
      <c r="U4" s="30" t="str">
        <f>TEXT(WEEKDAY(DATE(CalendarYear,1,20),1),"aaa")</f>
        <v>Mon</v>
      </c>
      <c r="V4" s="30" t="str">
        <f>TEXT(WEEKDAY(DATE(CalendarYear,1,21),1),"aaa")</f>
        <v>Tue</v>
      </c>
      <c r="W4" s="30" t="str">
        <f>TEXT(WEEKDAY(DATE(CalendarYear,1,22),1),"aaa")</f>
        <v>Wed</v>
      </c>
      <c r="X4" s="30" t="str">
        <f>TEXT(WEEKDAY(DATE(CalendarYear,1,23),1),"aaa")</f>
        <v>Thu</v>
      </c>
      <c r="Y4" s="30" t="str">
        <f>TEXT(WEEKDAY(DATE(CalendarYear,1,24),1),"aaa")</f>
        <v>Fri</v>
      </c>
      <c r="Z4" s="30" t="str">
        <f>TEXT(WEEKDAY(DATE(CalendarYear,1,25),1),"aaa")</f>
        <v>Sat</v>
      </c>
      <c r="AA4" s="30" t="str">
        <f>TEXT(WEEKDAY(DATE(CalendarYear,1,26),1),"aaa")</f>
        <v>Sun</v>
      </c>
      <c r="AB4" s="30" t="str">
        <f>TEXT(WEEKDAY(DATE(CalendarYear,1,27),1),"aaa")</f>
        <v>Mon</v>
      </c>
      <c r="AC4" s="30" t="str">
        <f>TEXT(WEEKDAY(DATE(CalendarYear,1,28),1),"aaa")</f>
        <v>Tue</v>
      </c>
      <c r="AD4" s="30" t="str">
        <f>TEXT(WEEKDAY(DATE(CalendarYear,1,29),1),"aaa")</f>
        <v>Wed</v>
      </c>
      <c r="AE4" s="30" t="str">
        <f>TEXT(WEEKDAY(DATE(CalendarYear,1,30),1),"aaa")</f>
        <v>Thu</v>
      </c>
      <c r="AF4" s="31" t="str">
        <f>TEXT(WEEKDAY(DATE(CalendarYear,1,31),1),"aaa")</f>
        <v>Fri</v>
      </c>
      <c r="AG4" s="90"/>
      <c r="AH4" s="5"/>
    </row>
    <row r="5" spans="1:34" s="8" customFormat="1" ht="18.5" x14ac:dyDescent="0.35">
      <c r="A5" s="75" t="s">
        <v>53</v>
      </c>
      <c r="B5" s="27" t="s">
        <v>0</v>
      </c>
      <c r="C5" s="27" t="s">
        <v>1</v>
      </c>
      <c r="D5" s="27" t="s">
        <v>2</v>
      </c>
      <c r="E5" s="27" t="s">
        <v>3</v>
      </c>
      <c r="F5" s="27" t="s">
        <v>4</v>
      </c>
      <c r="G5" s="27" t="s">
        <v>5</v>
      </c>
      <c r="H5" s="27" t="s">
        <v>6</v>
      </c>
      <c r="I5" s="27" t="s">
        <v>7</v>
      </c>
      <c r="J5" s="27" t="s">
        <v>8</v>
      </c>
      <c r="K5" s="27" t="s">
        <v>9</v>
      </c>
      <c r="L5" s="27" t="s">
        <v>10</v>
      </c>
      <c r="M5" s="27" t="s">
        <v>11</v>
      </c>
      <c r="N5" s="27" t="s">
        <v>12</v>
      </c>
      <c r="O5" s="27" t="s">
        <v>13</v>
      </c>
      <c r="P5" s="27" t="s">
        <v>14</v>
      </c>
      <c r="Q5" s="27" t="s">
        <v>15</v>
      </c>
      <c r="R5" s="27" t="s">
        <v>16</v>
      </c>
      <c r="S5" s="27" t="s">
        <v>17</v>
      </c>
      <c r="T5" s="27" t="s">
        <v>18</v>
      </c>
      <c r="U5" s="27" t="s">
        <v>19</v>
      </c>
      <c r="V5" s="27" t="s">
        <v>20</v>
      </c>
      <c r="W5" s="27" t="s">
        <v>21</v>
      </c>
      <c r="X5" s="27" t="s">
        <v>22</v>
      </c>
      <c r="Y5" s="27" t="s">
        <v>23</v>
      </c>
      <c r="Z5" s="27" t="s">
        <v>24</v>
      </c>
      <c r="AA5" s="27" t="s">
        <v>25</v>
      </c>
      <c r="AB5" s="27" t="s">
        <v>26</v>
      </c>
      <c r="AC5" s="27" t="s">
        <v>27</v>
      </c>
      <c r="AD5" s="27" t="s">
        <v>28</v>
      </c>
      <c r="AE5" s="27" t="s">
        <v>29</v>
      </c>
      <c r="AF5" s="27" t="s">
        <v>30</v>
      </c>
      <c r="AG5" s="38" t="s">
        <v>47</v>
      </c>
      <c r="AH5" s="7"/>
    </row>
    <row r="6" spans="1:34" s="1" customFormat="1" ht="15.5" x14ac:dyDescent="0.35">
      <c r="A6" s="76" t="s">
        <v>55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34">
        <f>COUNTA(Jan[[#This Row],[1]:[31]])</f>
        <v>0</v>
      </c>
      <c r="AH6" s="2"/>
    </row>
    <row r="7" spans="1:34" s="1" customFormat="1" ht="15.5" x14ac:dyDescent="0.35">
      <c r="A7" s="76" t="s">
        <v>56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34">
        <f>COUNTA(Jan[[#This Row],[1]:[31]])</f>
        <v>0</v>
      </c>
      <c r="AH7" s="2"/>
    </row>
    <row r="8" spans="1:34" s="1" customFormat="1" ht="15.5" x14ac:dyDescent="0.35">
      <c r="A8" s="77" t="s">
        <v>49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47">
        <f>COUNTA(Jan[[#This Row],[1]:[31]])</f>
        <v>0</v>
      </c>
      <c r="AH8" s="2"/>
    </row>
    <row r="9" spans="1:34" s="1" customFormat="1" ht="15.5" x14ac:dyDescent="0.35">
      <c r="A9" s="77" t="s">
        <v>57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47">
        <f>COUNTA(Jan[[#This Row],[1]:[31]])</f>
        <v>0</v>
      </c>
      <c r="AH9" s="2"/>
    </row>
    <row r="10" spans="1:34" s="1" customFormat="1" ht="15.5" x14ac:dyDescent="0.35">
      <c r="A10" s="76" t="s">
        <v>58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34">
        <f>COUNTA(Jan[[#This Row],[1]:[31]])</f>
        <v>0</v>
      </c>
      <c r="AH10" s="2"/>
    </row>
    <row r="11" spans="1:34" ht="14.5" x14ac:dyDescent="0.25">
      <c r="A11" s="79" t="str">
        <f>A3 &amp; " Total"</f>
        <v>January Summary Total</v>
      </c>
      <c r="B11" s="46">
        <f>SUBTOTAL(103,Jan[1])</f>
        <v>0</v>
      </c>
      <c r="C11" s="46">
        <f>SUBTOTAL(103,Jan[2])</f>
        <v>0</v>
      </c>
      <c r="D11" s="46">
        <f>SUBTOTAL(103,Jan[3])</f>
        <v>0</v>
      </c>
      <c r="E11" s="46">
        <f>SUBTOTAL(103,Jan[4])</f>
        <v>0</v>
      </c>
      <c r="F11" s="46">
        <f>SUBTOTAL(103,Jan[5])</f>
        <v>0</v>
      </c>
      <c r="G11" s="46">
        <f>SUBTOTAL(103,Jan[6])</f>
        <v>0</v>
      </c>
      <c r="H11" s="46">
        <f>SUBTOTAL(103,Jan[7])</f>
        <v>0</v>
      </c>
      <c r="I11" s="46">
        <f>SUBTOTAL(103,Jan[8])</f>
        <v>0</v>
      </c>
      <c r="J11" s="46">
        <f>SUBTOTAL(103,Jan[9])</f>
        <v>0</v>
      </c>
      <c r="K11" s="46">
        <f>SUBTOTAL(103,Jan[10])</f>
        <v>0</v>
      </c>
      <c r="L11" s="46">
        <f>SUBTOTAL(103,Jan[11])</f>
        <v>0</v>
      </c>
      <c r="M11" s="46">
        <f>SUBTOTAL(103,Jan[12])</f>
        <v>0</v>
      </c>
      <c r="N11" s="46">
        <f>SUBTOTAL(103,Jan[13])</f>
        <v>0</v>
      </c>
      <c r="O11" s="46">
        <f>SUBTOTAL(103,Jan[14])</f>
        <v>0</v>
      </c>
      <c r="P11" s="46">
        <f>SUBTOTAL(103,Jan[15])</f>
        <v>0</v>
      </c>
      <c r="Q11" s="46">
        <f>SUBTOTAL(103,Jan[16])</f>
        <v>0</v>
      </c>
      <c r="R11" s="46">
        <f>SUBTOTAL(103,Jan[17])</f>
        <v>0</v>
      </c>
      <c r="S11" s="46">
        <f>SUBTOTAL(103,Jan[18])</f>
        <v>0</v>
      </c>
      <c r="T11" s="46">
        <f>SUBTOTAL(103,Jan[19])</f>
        <v>0</v>
      </c>
      <c r="U11" s="46">
        <f>SUBTOTAL(103,Jan[20])</f>
        <v>0</v>
      </c>
      <c r="V11" s="46">
        <f>SUBTOTAL(103,Jan[21])</f>
        <v>0</v>
      </c>
      <c r="W11" s="46">
        <f>SUBTOTAL(103,Jan[22])</f>
        <v>0</v>
      </c>
      <c r="X11" s="46">
        <f>SUBTOTAL(103,Jan[23])</f>
        <v>0</v>
      </c>
      <c r="Y11" s="46">
        <f>SUBTOTAL(103,Jan[24])</f>
        <v>0</v>
      </c>
      <c r="Z11" s="46">
        <f>SUBTOTAL(103,Jan[25])</f>
        <v>0</v>
      </c>
      <c r="AA11" s="46">
        <f>SUBTOTAL(103,Jan[26])</f>
        <v>0</v>
      </c>
      <c r="AB11" s="46">
        <f>SUBTOTAL(103,Jan[27])</f>
        <v>0</v>
      </c>
      <c r="AC11" s="46">
        <f>SUBTOTAL(103,Jan[28])</f>
        <v>0</v>
      </c>
      <c r="AD11" s="46">
        <f>SUBTOTAL(103,Jan[29])</f>
        <v>0</v>
      </c>
      <c r="AE11" s="46">
        <f>SUBTOTAL(103,Jan[30])</f>
        <v>0</v>
      </c>
      <c r="AF11" s="46">
        <f>SUBTOTAL(103,Jan[31])</f>
        <v>0</v>
      </c>
      <c r="AG11" s="47">
        <f>SUBTOTAL(109,Jan[Total Days Traveled])</f>
        <v>0</v>
      </c>
    </row>
    <row r="12" spans="1:34" customFormat="1" ht="14.5" x14ac:dyDescent="0.35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</row>
    <row r="13" spans="1:34" customFormat="1" ht="16" thickBot="1" x14ac:dyDescent="0.4">
      <c r="A13" s="80"/>
      <c r="B13" s="39" t="s">
        <v>31</v>
      </c>
      <c r="C13" s="40"/>
      <c r="D13" s="41"/>
      <c r="E13" s="32"/>
      <c r="F13" s="32"/>
      <c r="G13" s="17" t="s">
        <v>52</v>
      </c>
      <c r="H13" s="35" t="s">
        <v>39</v>
      </c>
      <c r="I13" s="37"/>
      <c r="J13" s="37"/>
      <c r="K13" s="13" t="s">
        <v>51</v>
      </c>
      <c r="L13" s="35" t="s">
        <v>40</v>
      </c>
      <c r="M13" s="37"/>
      <c r="N13" s="37"/>
      <c r="O13" s="14" t="s">
        <v>42</v>
      </c>
      <c r="P13" s="35" t="s">
        <v>41</v>
      </c>
      <c r="Q13" s="37"/>
      <c r="R13" s="37"/>
      <c r="S13" s="15" t="s">
        <v>44</v>
      </c>
      <c r="T13" s="35" t="s">
        <v>43</v>
      </c>
      <c r="U13" s="36"/>
      <c r="V13" s="37"/>
      <c r="W13" s="16" t="s">
        <v>45</v>
      </c>
      <c r="X13" s="24" t="s">
        <v>46</v>
      </c>
      <c r="Y13" s="25"/>
      <c r="Z13" s="26"/>
      <c r="AA13" s="74"/>
      <c r="AB13" s="74"/>
      <c r="AC13" s="74"/>
      <c r="AD13" s="74"/>
      <c r="AE13" s="74"/>
      <c r="AF13" s="10"/>
      <c r="AG13" s="9"/>
    </row>
    <row r="14" spans="1:34" customFormat="1" ht="14.5" x14ac:dyDescent="0.35">
      <c r="A14" s="81"/>
    </row>
    <row r="15" spans="1:34" customFormat="1" ht="14.5" x14ac:dyDescent="0.35">
      <c r="A15" s="81"/>
    </row>
    <row r="16" spans="1:34" customFormat="1" ht="14.5" x14ac:dyDescent="0.35">
      <c r="A16" s="81"/>
    </row>
    <row r="17" spans="1:34" customFormat="1" ht="15" customHeight="1" x14ac:dyDescent="0.35">
      <c r="A17" s="81"/>
    </row>
    <row r="18" spans="1:34" customFormat="1" ht="15" customHeight="1" x14ac:dyDescent="0.35">
      <c r="A18" s="81"/>
      <c r="U18" s="33"/>
    </row>
    <row r="19" spans="1:34" customFormat="1" ht="15" customHeight="1" x14ac:dyDescent="0.35">
      <c r="A19" s="81"/>
    </row>
    <row r="20" spans="1:34" s="4" customFormat="1" ht="30" customHeight="1" x14ac:dyDescent="0.35">
      <c r="A20" s="87" t="s">
        <v>74</v>
      </c>
      <c r="B20" s="89" t="s">
        <v>38</v>
      </c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>
        <v>2025</v>
      </c>
      <c r="AH20" s="3"/>
    </row>
    <row r="21" spans="1:34" s="6" customFormat="1" ht="15.75" customHeight="1" x14ac:dyDescent="0.3">
      <c r="A21" s="91"/>
      <c r="B21" s="29" t="str">
        <f>TEXT(WEEKDAY(DATE(CalendarYear,1,1),1),"aaa")</f>
        <v>Wed</v>
      </c>
      <c r="C21" s="30" t="str">
        <f>TEXT(WEEKDAY(DATE(CalendarYear,1,2),1),"aaa")</f>
        <v>Thu</v>
      </c>
      <c r="D21" s="30" t="str">
        <f>TEXT(WEEKDAY(DATE(CalendarYear,1,3),1),"aaa")</f>
        <v>Fri</v>
      </c>
      <c r="E21" s="30" t="str">
        <f>TEXT(WEEKDAY(DATE(CalendarYear,1,4),1),"aaa")</f>
        <v>Sat</v>
      </c>
      <c r="F21" s="30" t="str">
        <f>TEXT(WEEKDAY(DATE(CalendarYear,1,5),1),"aaa")</f>
        <v>Sun</v>
      </c>
      <c r="G21" s="30" t="str">
        <f>TEXT(WEEKDAY(DATE(CalendarYear,1,6),1),"aaa")</f>
        <v>Mon</v>
      </c>
      <c r="H21" s="30" t="str">
        <f>TEXT(WEEKDAY(DATE(CalendarYear,1,7),1),"aaa")</f>
        <v>Tue</v>
      </c>
      <c r="I21" s="30" t="str">
        <f>TEXT(WEEKDAY(DATE(CalendarYear,1,8),1),"aaa")</f>
        <v>Wed</v>
      </c>
      <c r="J21" s="30" t="str">
        <f>TEXT(WEEKDAY(DATE(CalendarYear,1,9),1),"aaa")</f>
        <v>Thu</v>
      </c>
      <c r="K21" s="30" t="str">
        <f>TEXT(WEEKDAY(DATE(CalendarYear,1,10),1),"aaa")</f>
        <v>Fri</v>
      </c>
      <c r="L21" s="30" t="str">
        <f>TEXT(WEEKDAY(DATE(CalendarYear,1,11),1),"aaa")</f>
        <v>Sat</v>
      </c>
      <c r="M21" s="30" t="str">
        <f>TEXT(WEEKDAY(DATE(CalendarYear,1,12),1),"aaa")</f>
        <v>Sun</v>
      </c>
      <c r="N21" s="30" t="str">
        <f>TEXT(WEEKDAY(DATE(CalendarYear,1,13),1),"aaa")</f>
        <v>Mon</v>
      </c>
      <c r="O21" s="30" t="str">
        <f>TEXT(WEEKDAY(DATE(CalendarYear,1,14),1),"aaa")</f>
        <v>Tue</v>
      </c>
      <c r="P21" s="30" t="str">
        <f>TEXT(WEEKDAY(DATE(CalendarYear,1,15),1),"aaa")</f>
        <v>Wed</v>
      </c>
      <c r="Q21" s="30" t="str">
        <f>TEXT(WEEKDAY(DATE(CalendarYear,1,16),1),"aaa")</f>
        <v>Thu</v>
      </c>
      <c r="R21" s="30" t="str">
        <f>TEXT(WEEKDAY(DATE(CalendarYear,1,17),1),"aaa")</f>
        <v>Fri</v>
      </c>
      <c r="S21" s="30" t="str">
        <f>TEXT(WEEKDAY(DATE(CalendarYear,1,18),1),"aaa")</f>
        <v>Sat</v>
      </c>
      <c r="T21" s="30" t="str">
        <f>TEXT(WEEKDAY(DATE(CalendarYear,1,19),1),"aaa")</f>
        <v>Sun</v>
      </c>
      <c r="U21" s="30" t="str">
        <f>TEXT(WEEKDAY(DATE(CalendarYear,1,20),1),"aaa")</f>
        <v>Mon</v>
      </c>
      <c r="V21" s="30" t="str">
        <f>TEXT(WEEKDAY(DATE(CalendarYear,1,21),1),"aaa")</f>
        <v>Tue</v>
      </c>
      <c r="W21" s="30" t="str">
        <f>TEXT(WEEKDAY(DATE(CalendarYear,1,22),1),"aaa")</f>
        <v>Wed</v>
      </c>
      <c r="X21" s="30" t="str">
        <f>TEXT(WEEKDAY(DATE(CalendarYear,1,23),1),"aaa")</f>
        <v>Thu</v>
      </c>
      <c r="Y21" s="30" t="str">
        <f>TEXT(WEEKDAY(DATE(CalendarYear,1,24),1),"aaa")</f>
        <v>Fri</v>
      </c>
      <c r="Z21" s="30" t="str">
        <f>TEXT(WEEKDAY(DATE(CalendarYear,1,25),1),"aaa")</f>
        <v>Sat</v>
      </c>
      <c r="AA21" s="30" t="str">
        <f>TEXT(WEEKDAY(DATE(CalendarYear,1,26),1),"aaa")</f>
        <v>Sun</v>
      </c>
      <c r="AB21" s="30" t="str">
        <f>TEXT(WEEKDAY(DATE(CalendarYear,1,27),1),"aaa")</f>
        <v>Mon</v>
      </c>
      <c r="AC21" s="30" t="str">
        <f>TEXT(WEEKDAY(DATE(CalendarYear,1,28),1),"aaa")</f>
        <v>Tue</v>
      </c>
      <c r="AD21" s="30" t="str">
        <f>TEXT(WEEKDAY(DATE(CalendarYear,1,29),1),"aaa")</f>
        <v>Wed</v>
      </c>
      <c r="AE21" s="30" t="str">
        <f>TEXT(WEEKDAY(DATE(CalendarYear,1,30),1),"aaa")</f>
        <v>Thu</v>
      </c>
      <c r="AF21" s="31" t="str">
        <f>TEXT(WEEKDAY(DATE(CalendarYear,1,31),1),"aaa")</f>
        <v>Fri</v>
      </c>
      <c r="AG21" s="90"/>
      <c r="AH21" s="5"/>
    </row>
    <row r="22" spans="1:34" s="8" customFormat="1" ht="18.5" x14ac:dyDescent="0.35">
      <c r="A22" s="75" t="s">
        <v>53</v>
      </c>
      <c r="B22" s="27" t="s">
        <v>0</v>
      </c>
      <c r="C22" s="27" t="s">
        <v>1</v>
      </c>
      <c r="D22" s="27" t="s">
        <v>2</v>
      </c>
      <c r="E22" s="27" t="s">
        <v>3</v>
      </c>
      <c r="F22" s="27" t="s">
        <v>4</v>
      </c>
      <c r="G22" s="27" t="s">
        <v>5</v>
      </c>
      <c r="H22" s="27" t="s">
        <v>6</v>
      </c>
      <c r="I22" s="27" t="s">
        <v>7</v>
      </c>
      <c r="J22" s="27" t="s">
        <v>8</v>
      </c>
      <c r="K22" s="27" t="s">
        <v>9</v>
      </c>
      <c r="L22" s="27" t="s">
        <v>10</v>
      </c>
      <c r="M22" s="27" t="s">
        <v>11</v>
      </c>
      <c r="N22" s="27" t="s">
        <v>12</v>
      </c>
      <c r="O22" s="27" t="s">
        <v>13</v>
      </c>
      <c r="P22" s="27" t="s">
        <v>14</v>
      </c>
      <c r="Q22" s="27" t="s">
        <v>15</v>
      </c>
      <c r="R22" s="27" t="s">
        <v>16</v>
      </c>
      <c r="S22" s="27" t="s">
        <v>17</v>
      </c>
      <c r="T22" s="27" t="s">
        <v>18</v>
      </c>
      <c r="U22" s="27" t="s">
        <v>19</v>
      </c>
      <c r="V22" s="27" t="s">
        <v>20</v>
      </c>
      <c r="W22" s="27" t="s">
        <v>21</v>
      </c>
      <c r="X22" s="27" t="s">
        <v>22</v>
      </c>
      <c r="Y22" s="27" t="s">
        <v>23</v>
      </c>
      <c r="Z22" s="27" t="s">
        <v>24</v>
      </c>
      <c r="AA22" s="27" t="s">
        <v>25</v>
      </c>
      <c r="AB22" s="27" t="s">
        <v>26</v>
      </c>
      <c r="AC22" s="27" t="s">
        <v>27</v>
      </c>
      <c r="AD22" s="27" t="s">
        <v>28</v>
      </c>
      <c r="AE22" s="27" t="s">
        <v>29</v>
      </c>
      <c r="AF22" s="27" t="s">
        <v>30</v>
      </c>
      <c r="AG22" s="38" t="s">
        <v>47</v>
      </c>
      <c r="AH22" s="7"/>
    </row>
    <row r="23" spans="1:34" s="1" customFormat="1" ht="15.5" x14ac:dyDescent="0.35">
      <c r="A23" s="76" t="s">
        <v>83</v>
      </c>
      <c r="B23" s="72" t="s">
        <v>42</v>
      </c>
      <c r="C23" s="72"/>
      <c r="D23" s="72"/>
      <c r="E23" s="72"/>
      <c r="F23" s="72"/>
      <c r="G23" s="72"/>
      <c r="H23" s="72"/>
      <c r="I23" s="72"/>
      <c r="J23" s="72"/>
      <c r="K23" s="72" t="s">
        <v>44</v>
      </c>
      <c r="L23" s="72" t="s">
        <v>51</v>
      </c>
      <c r="M23" s="72"/>
      <c r="N23" s="72"/>
      <c r="O23" s="72"/>
      <c r="P23" s="72"/>
      <c r="Q23" s="72"/>
      <c r="R23" s="72"/>
      <c r="S23" s="72"/>
      <c r="T23" s="72"/>
      <c r="U23" s="72" t="s">
        <v>42</v>
      </c>
      <c r="V23" s="72" t="s">
        <v>52</v>
      </c>
      <c r="W23" s="72"/>
      <c r="X23" s="72"/>
      <c r="Y23" s="72"/>
      <c r="Z23" s="72"/>
      <c r="AA23" s="72"/>
      <c r="AB23" s="72"/>
      <c r="AC23" s="72"/>
      <c r="AD23" s="72"/>
      <c r="AE23" s="72" t="s">
        <v>42</v>
      </c>
      <c r="AF23" s="72" t="s">
        <v>45</v>
      </c>
      <c r="AG23" s="34">
        <f>COUNTA(Feb[[#This Row],[1]:[31]])</f>
        <v>7</v>
      </c>
      <c r="AH23" s="2"/>
    </row>
    <row r="24" spans="1:34" s="1" customFormat="1" ht="15.5" x14ac:dyDescent="0.35">
      <c r="A24" s="76" t="s">
        <v>84</v>
      </c>
      <c r="B24" s="72" t="s">
        <v>45</v>
      </c>
      <c r="C24" s="72" t="s">
        <v>45</v>
      </c>
      <c r="D24" s="72"/>
      <c r="E24" s="72"/>
      <c r="F24" s="72"/>
      <c r="G24" s="72"/>
      <c r="H24" s="72"/>
      <c r="I24" s="72"/>
      <c r="J24" s="72" t="s">
        <v>52</v>
      </c>
      <c r="K24" s="72"/>
      <c r="L24" s="72"/>
      <c r="M24" s="72" t="s">
        <v>42</v>
      </c>
      <c r="N24" s="72"/>
      <c r="O24" s="72"/>
      <c r="P24" s="72"/>
      <c r="Q24" s="72"/>
      <c r="R24" s="72"/>
      <c r="S24" s="72"/>
      <c r="T24" s="72" t="s">
        <v>45</v>
      </c>
      <c r="U24" s="72"/>
      <c r="V24" s="72"/>
      <c r="W24" s="72" t="s">
        <v>51</v>
      </c>
      <c r="X24" s="72"/>
      <c r="Y24" s="72"/>
      <c r="Z24" s="72"/>
      <c r="AA24" s="72"/>
      <c r="AB24" s="72"/>
      <c r="AC24" s="72"/>
      <c r="AD24" s="72" t="s">
        <v>44</v>
      </c>
      <c r="AE24" s="72"/>
      <c r="AF24" s="72" t="s">
        <v>44</v>
      </c>
      <c r="AG24" s="34">
        <f>COUNTA(Feb[[#This Row],[1]:[31]])</f>
        <v>8</v>
      </c>
      <c r="AH24" s="2"/>
    </row>
    <row r="25" spans="1:34" s="1" customFormat="1" ht="15.5" x14ac:dyDescent="0.35">
      <c r="A25" s="77" t="s">
        <v>85</v>
      </c>
      <c r="B25" s="66" t="s">
        <v>52</v>
      </c>
      <c r="C25" s="66"/>
      <c r="D25" s="66" t="s">
        <v>52</v>
      </c>
      <c r="E25" s="66"/>
      <c r="F25" s="66"/>
      <c r="G25" s="66"/>
      <c r="H25" s="66"/>
      <c r="I25" s="66" t="s">
        <v>51</v>
      </c>
      <c r="J25" s="66"/>
      <c r="K25" s="66"/>
      <c r="L25" s="66"/>
      <c r="M25" s="66"/>
      <c r="N25" s="66" t="s">
        <v>45</v>
      </c>
      <c r="O25" s="66"/>
      <c r="P25" s="66"/>
      <c r="Q25" s="66"/>
      <c r="R25" s="66"/>
      <c r="S25" s="66" t="s">
        <v>52</v>
      </c>
      <c r="T25" s="66"/>
      <c r="U25" s="66"/>
      <c r="V25" s="66"/>
      <c r="W25" s="66"/>
      <c r="X25" s="66" t="s">
        <v>44</v>
      </c>
      <c r="Y25" s="66"/>
      <c r="Z25" s="66"/>
      <c r="AA25" s="66"/>
      <c r="AB25" s="66"/>
      <c r="AC25" s="66" t="s">
        <v>52</v>
      </c>
      <c r="AD25" s="66"/>
      <c r="AE25" s="66"/>
      <c r="AF25" s="66" t="s">
        <v>52</v>
      </c>
      <c r="AG25" s="47">
        <f>COUNTA(Feb[[#This Row],[1]:[31]])</f>
        <v>8</v>
      </c>
      <c r="AH25" s="2"/>
    </row>
    <row r="26" spans="1:34" s="1" customFormat="1" ht="15.5" x14ac:dyDescent="0.35">
      <c r="A26" s="77" t="s">
        <v>86</v>
      </c>
      <c r="B26" s="66" t="s">
        <v>51</v>
      </c>
      <c r="C26" s="66"/>
      <c r="D26" s="66"/>
      <c r="E26" s="66" t="s">
        <v>51</v>
      </c>
      <c r="F26" s="66"/>
      <c r="G26" s="66"/>
      <c r="H26" s="66" t="s">
        <v>45</v>
      </c>
      <c r="I26" s="66"/>
      <c r="J26" s="66"/>
      <c r="K26" s="66"/>
      <c r="L26" s="66"/>
      <c r="M26" s="66"/>
      <c r="N26" s="66"/>
      <c r="O26" s="66" t="s">
        <v>52</v>
      </c>
      <c r="P26" s="66"/>
      <c r="Q26" s="66"/>
      <c r="R26" s="66" t="s">
        <v>44</v>
      </c>
      <c r="S26" s="66"/>
      <c r="T26" s="66"/>
      <c r="U26" s="66"/>
      <c r="V26" s="66"/>
      <c r="W26" s="66"/>
      <c r="X26" s="66"/>
      <c r="Y26" s="66" t="s">
        <v>45</v>
      </c>
      <c r="Z26" s="66"/>
      <c r="AA26" s="66"/>
      <c r="AB26" s="66" t="s">
        <v>51</v>
      </c>
      <c r="AC26" s="66"/>
      <c r="AD26" s="66"/>
      <c r="AE26" s="66"/>
      <c r="AF26" s="66" t="s">
        <v>51</v>
      </c>
      <c r="AG26" s="47">
        <f>COUNTA(Feb[[#This Row],[1]:[31]])</f>
        <v>8</v>
      </c>
      <c r="AH26" s="2"/>
    </row>
    <row r="27" spans="1:34" s="1" customFormat="1" ht="15.5" x14ac:dyDescent="0.35">
      <c r="A27" s="76" t="s">
        <v>87</v>
      </c>
      <c r="B27" s="72" t="s">
        <v>44</v>
      </c>
      <c r="C27" s="72"/>
      <c r="D27" s="72"/>
      <c r="E27" s="72"/>
      <c r="F27" s="72" t="s">
        <v>44</v>
      </c>
      <c r="G27" s="72" t="s">
        <v>42</v>
      </c>
      <c r="H27" s="72"/>
      <c r="I27" s="72"/>
      <c r="J27" s="72"/>
      <c r="K27" s="72"/>
      <c r="L27" s="72"/>
      <c r="M27" s="72"/>
      <c r="N27" s="72"/>
      <c r="O27" s="72"/>
      <c r="P27" s="72" t="s">
        <v>45</v>
      </c>
      <c r="Q27" s="72" t="s">
        <v>51</v>
      </c>
      <c r="R27" s="72"/>
      <c r="S27" s="72"/>
      <c r="T27" s="72"/>
      <c r="U27" s="72"/>
      <c r="V27" s="72"/>
      <c r="W27" s="72"/>
      <c r="X27" s="72"/>
      <c r="Y27" s="72"/>
      <c r="Z27" s="72" t="s">
        <v>42</v>
      </c>
      <c r="AA27" s="72" t="s">
        <v>52</v>
      </c>
      <c r="AB27" s="72"/>
      <c r="AC27" s="72"/>
      <c r="AD27" s="72"/>
      <c r="AE27" s="72"/>
      <c r="AF27" s="72" t="s">
        <v>52</v>
      </c>
      <c r="AG27" s="34">
        <f>COUNTA(Feb[[#This Row],[1]:[31]])</f>
        <v>8</v>
      </c>
      <c r="AH27" s="2"/>
    </row>
    <row r="28" spans="1:34" ht="14.5" x14ac:dyDescent="0.25">
      <c r="A28" s="79" t="str">
        <f>A20 &amp; " Total"</f>
        <v>February Summary Total</v>
      </c>
      <c r="B28" s="46">
        <f>SUBTOTAL(103,Feb[1])</f>
        <v>5</v>
      </c>
      <c r="C28" s="46">
        <f>SUBTOTAL(103,Feb[2])</f>
        <v>1</v>
      </c>
      <c r="D28" s="46">
        <f>SUBTOTAL(103,Feb[3])</f>
        <v>1</v>
      </c>
      <c r="E28" s="46">
        <f>SUBTOTAL(103,Feb[4])</f>
        <v>1</v>
      </c>
      <c r="F28" s="46">
        <f>SUBTOTAL(103,Feb[5])</f>
        <v>1</v>
      </c>
      <c r="G28" s="46">
        <f>SUBTOTAL(103,Feb[6])</f>
        <v>1</v>
      </c>
      <c r="H28" s="46">
        <f>SUBTOTAL(103,Feb[7])</f>
        <v>1</v>
      </c>
      <c r="I28" s="46">
        <f>SUBTOTAL(103,Feb[8])</f>
        <v>1</v>
      </c>
      <c r="J28" s="46">
        <f>SUBTOTAL(103,Feb[9])</f>
        <v>1</v>
      </c>
      <c r="K28" s="46">
        <f>SUBTOTAL(103,Feb[10])</f>
        <v>1</v>
      </c>
      <c r="L28" s="46">
        <f>SUBTOTAL(103,Feb[11])</f>
        <v>1</v>
      </c>
      <c r="M28" s="46">
        <f>SUBTOTAL(103,Feb[12])</f>
        <v>1</v>
      </c>
      <c r="N28" s="46">
        <f>SUBTOTAL(103,Feb[13])</f>
        <v>1</v>
      </c>
      <c r="O28" s="46">
        <f>SUBTOTAL(103,Feb[14])</f>
        <v>1</v>
      </c>
      <c r="P28" s="46">
        <f>SUBTOTAL(103,Feb[15])</f>
        <v>1</v>
      </c>
      <c r="Q28" s="46">
        <f>SUBTOTAL(103,Feb[16])</f>
        <v>1</v>
      </c>
      <c r="R28" s="46">
        <f>SUBTOTAL(103,Feb[17])</f>
        <v>1</v>
      </c>
      <c r="S28" s="46">
        <f>SUBTOTAL(103,Feb[18])</f>
        <v>1</v>
      </c>
      <c r="T28" s="46">
        <f>SUBTOTAL(103,Feb[19])</f>
        <v>1</v>
      </c>
      <c r="U28" s="46">
        <f>SUBTOTAL(103,Feb[20])</f>
        <v>1</v>
      </c>
      <c r="V28" s="46">
        <f>SUBTOTAL(103,Feb[21])</f>
        <v>1</v>
      </c>
      <c r="W28" s="46">
        <f>SUBTOTAL(103,Feb[22])</f>
        <v>1</v>
      </c>
      <c r="X28" s="46">
        <f>SUBTOTAL(103,Feb[23])</f>
        <v>1</v>
      </c>
      <c r="Y28" s="46">
        <f>SUBTOTAL(103,Feb[24])</f>
        <v>1</v>
      </c>
      <c r="Z28" s="46">
        <f>SUBTOTAL(103,Feb[25])</f>
        <v>1</v>
      </c>
      <c r="AA28" s="46">
        <f>SUBTOTAL(103,Feb[26])</f>
        <v>1</v>
      </c>
      <c r="AB28" s="46">
        <f>SUBTOTAL(103,Feb[27])</f>
        <v>1</v>
      </c>
      <c r="AC28" s="46">
        <f>SUBTOTAL(103,Feb[28])</f>
        <v>1</v>
      </c>
      <c r="AD28" s="46">
        <f>SUBTOTAL(103,Feb[29])</f>
        <v>1</v>
      </c>
      <c r="AE28" s="46">
        <f>SUBTOTAL(103,Feb[30])</f>
        <v>1</v>
      </c>
      <c r="AF28" s="46">
        <f>SUBTOTAL(103,Feb[31])</f>
        <v>5</v>
      </c>
      <c r="AG28" s="47">
        <f>SUBTOTAL(109,Feb[Total Days Traveled])</f>
        <v>39</v>
      </c>
    </row>
    <row r="29" spans="1:34" customFormat="1" ht="14.5" x14ac:dyDescent="0.35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</row>
    <row r="30" spans="1:34" customFormat="1" ht="16" thickBot="1" x14ac:dyDescent="0.4">
      <c r="A30" s="80"/>
      <c r="B30" s="39" t="s">
        <v>31</v>
      </c>
      <c r="C30" s="40"/>
      <c r="D30" s="41"/>
      <c r="E30" s="32"/>
      <c r="F30" s="32"/>
      <c r="G30" s="17" t="s">
        <v>52</v>
      </c>
      <c r="H30" s="73" t="s">
        <v>39</v>
      </c>
      <c r="I30" s="37"/>
      <c r="J30" s="37"/>
      <c r="K30" s="13" t="s">
        <v>51</v>
      </c>
      <c r="L30" s="73" t="s">
        <v>40</v>
      </c>
      <c r="M30" s="37"/>
      <c r="N30" s="37"/>
      <c r="O30" s="14" t="s">
        <v>42</v>
      </c>
      <c r="P30" s="73" t="s">
        <v>41</v>
      </c>
      <c r="Q30" s="37"/>
      <c r="R30" s="37"/>
      <c r="S30" s="15" t="s">
        <v>44</v>
      </c>
      <c r="T30" s="73" t="s">
        <v>43</v>
      </c>
      <c r="U30" s="36"/>
      <c r="V30" s="37"/>
      <c r="W30" s="16" t="s">
        <v>45</v>
      </c>
      <c r="X30" s="24" t="s">
        <v>46</v>
      </c>
      <c r="Y30" s="25"/>
      <c r="Z30" s="26"/>
      <c r="AA30" s="74"/>
      <c r="AB30" s="74"/>
      <c r="AC30" s="74"/>
      <c r="AD30" s="74"/>
      <c r="AE30" s="74"/>
      <c r="AF30" s="10"/>
      <c r="AG30" s="9"/>
    </row>
    <row r="31" spans="1:34" customFormat="1" ht="15" customHeight="1" x14ac:dyDescent="0.35">
      <c r="A31" s="81"/>
    </row>
    <row r="32" spans="1:34" customFormat="1" ht="15" customHeight="1" x14ac:dyDescent="0.35">
      <c r="A32" s="81"/>
    </row>
    <row r="33" spans="1:34" customFormat="1" ht="15" customHeight="1" x14ac:dyDescent="0.35">
      <c r="A33" s="81"/>
    </row>
    <row r="34" spans="1:34" customFormat="1" ht="15" customHeight="1" x14ac:dyDescent="0.35">
      <c r="A34" s="81"/>
    </row>
    <row r="35" spans="1:34" customFormat="1" ht="15" customHeight="1" x14ac:dyDescent="0.35">
      <c r="A35" s="81"/>
    </row>
    <row r="36" spans="1:34" customFormat="1" ht="15" customHeight="1" x14ac:dyDescent="0.35">
      <c r="A36" s="81"/>
    </row>
    <row r="37" spans="1:34" s="4" customFormat="1" ht="30" customHeight="1" x14ac:dyDescent="0.35">
      <c r="A37" s="87" t="s">
        <v>64</v>
      </c>
      <c r="B37" s="89" t="s">
        <v>38</v>
      </c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>
        <v>2025</v>
      </c>
      <c r="AH37" s="3"/>
    </row>
    <row r="38" spans="1:34" s="6" customFormat="1" ht="15.75" customHeight="1" x14ac:dyDescent="0.3">
      <c r="A38" s="88"/>
      <c r="B38" s="29" t="str">
        <f>TEXT(WEEKDAY(DATE(CalendarYear,1,1),1),"aaa")</f>
        <v>Wed</v>
      </c>
      <c r="C38" s="30" t="str">
        <f>TEXT(WEEKDAY(DATE(CalendarYear,1,2),1),"aaa")</f>
        <v>Thu</v>
      </c>
      <c r="D38" s="30" t="str">
        <f>TEXT(WEEKDAY(DATE(CalendarYear,1,3),1),"aaa")</f>
        <v>Fri</v>
      </c>
      <c r="E38" s="30" t="str">
        <f>TEXT(WEEKDAY(DATE(CalendarYear,1,4),1),"aaa")</f>
        <v>Sat</v>
      </c>
      <c r="F38" s="30" t="str">
        <f>TEXT(WEEKDAY(DATE(CalendarYear,1,5),1),"aaa")</f>
        <v>Sun</v>
      </c>
      <c r="G38" s="30" t="str">
        <f>TEXT(WEEKDAY(DATE(CalendarYear,1,6),1),"aaa")</f>
        <v>Mon</v>
      </c>
      <c r="H38" s="30" t="str">
        <f>TEXT(WEEKDAY(DATE(CalendarYear,1,7),1),"aaa")</f>
        <v>Tue</v>
      </c>
      <c r="I38" s="30" t="str">
        <f>TEXT(WEEKDAY(DATE(CalendarYear,1,8),1),"aaa")</f>
        <v>Wed</v>
      </c>
      <c r="J38" s="30" t="str">
        <f>TEXT(WEEKDAY(DATE(CalendarYear,1,9),1),"aaa")</f>
        <v>Thu</v>
      </c>
      <c r="K38" s="30" t="str">
        <f>TEXT(WEEKDAY(DATE(CalendarYear,1,10),1),"aaa")</f>
        <v>Fri</v>
      </c>
      <c r="L38" s="30" t="str">
        <f>TEXT(WEEKDAY(DATE(CalendarYear,1,11),1),"aaa")</f>
        <v>Sat</v>
      </c>
      <c r="M38" s="30" t="str">
        <f>TEXT(WEEKDAY(DATE(CalendarYear,1,12),1),"aaa")</f>
        <v>Sun</v>
      </c>
      <c r="N38" s="30" t="str">
        <f>TEXT(WEEKDAY(DATE(CalendarYear,1,13),1),"aaa")</f>
        <v>Mon</v>
      </c>
      <c r="O38" s="30" t="str">
        <f>TEXT(WEEKDAY(DATE(CalendarYear,1,14),1),"aaa")</f>
        <v>Tue</v>
      </c>
      <c r="P38" s="30" t="str">
        <f>TEXT(WEEKDAY(DATE(CalendarYear,1,15),1),"aaa")</f>
        <v>Wed</v>
      </c>
      <c r="Q38" s="30" t="str">
        <f>TEXT(WEEKDAY(DATE(CalendarYear,1,16),1),"aaa")</f>
        <v>Thu</v>
      </c>
      <c r="R38" s="30" t="str">
        <f>TEXT(WEEKDAY(DATE(CalendarYear,1,17),1),"aaa")</f>
        <v>Fri</v>
      </c>
      <c r="S38" s="30" t="str">
        <f>TEXT(WEEKDAY(DATE(CalendarYear,1,18),1),"aaa")</f>
        <v>Sat</v>
      </c>
      <c r="T38" s="30" t="str">
        <f>TEXT(WEEKDAY(DATE(CalendarYear,1,19),1),"aaa")</f>
        <v>Sun</v>
      </c>
      <c r="U38" s="30" t="str">
        <f>TEXT(WEEKDAY(DATE(CalendarYear,1,20),1),"aaa")</f>
        <v>Mon</v>
      </c>
      <c r="V38" s="30" t="str">
        <f>TEXT(WEEKDAY(DATE(CalendarYear,1,21),1),"aaa")</f>
        <v>Tue</v>
      </c>
      <c r="W38" s="30" t="str">
        <f>TEXT(WEEKDAY(DATE(CalendarYear,1,22),1),"aaa")</f>
        <v>Wed</v>
      </c>
      <c r="X38" s="30" t="str">
        <f>TEXT(WEEKDAY(DATE(CalendarYear,1,23),1),"aaa")</f>
        <v>Thu</v>
      </c>
      <c r="Y38" s="30" t="str">
        <f>TEXT(WEEKDAY(DATE(CalendarYear,1,24),1),"aaa")</f>
        <v>Fri</v>
      </c>
      <c r="Z38" s="30" t="str">
        <f>TEXT(WEEKDAY(DATE(CalendarYear,1,25),1),"aaa")</f>
        <v>Sat</v>
      </c>
      <c r="AA38" s="30" t="str">
        <f>TEXT(WEEKDAY(DATE(CalendarYear,1,26),1),"aaa")</f>
        <v>Sun</v>
      </c>
      <c r="AB38" s="30" t="str">
        <f>TEXT(WEEKDAY(DATE(CalendarYear,1,27),1),"aaa")</f>
        <v>Mon</v>
      </c>
      <c r="AC38" s="30" t="str">
        <f>TEXT(WEEKDAY(DATE(CalendarYear,1,28),1),"aaa")</f>
        <v>Tue</v>
      </c>
      <c r="AD38" s="30" t="str">
        <f>TEXT(WEEKDAY(DATE(CalendarYear,1,29),1),"aaa")</f>
        <v>Wed</v>
      </c>
      <c r="AE38" s="30" t="str">
        <f>TEXT(WEEKDAY(DATE(CalendarYear,1,30),1),"aaa")</f>
        <v>Thu</v>
      </c>
      <c r="AF38" s="31" t="str">
        <f>TEXT(WEEKDAY(DATE(CalendarYear,1,31),1),"aaa")</f>
        <v>Fri</v>
      </c>
      <c r="AG38" s="90"/>
      <c r="AH38" s="5"/>
    </row>
    <row r="39" spans="1:34" s="8" customFormat="1" ht="18.5" x14ac:dyDescent="0.35">
      <c r="A39" s="75" t="s">
        <v>53</v>
      </c>
      <c r="B39" s="27" t="s">
        <v>0</v>
      </c>
      <c r="C39" s="27" t="s">
        <v>1</v>
      </c>
      <c r="D39" s="27" t="s">
        <v>2</v>
      </c>
      <c r="E39" s="27" t="s">
        <v>3</v>
      </c>
      <c r="F39" s="27" t="s">
        <v>4</v>
      </c>
      <c r="G39" s="27" t="s">
        <v>5</v>
      </c>
      <c r="H39" s="27" t="s">
        <v>6</v>
      </c>
      <c r="I39" s="27" t="s">
        <v>7</v>
      </c>
      <c r="J39" s="27" t="s">
        <v>8</v>
      </c>
      <c r="K39" s="27" t="s">
        <v>9</v>
      </c>
      <c r="L39" s="27" t="s">
        <v>10</v>
      </c>
      <c r="M39" s="27" t="s">
        <v>11</v>
      </c>
      <c r="N39" s="27" t="s">
        <v>12</v>
      </c>
      <c r="O39" s="27" t="s">
        <v>13</v>
      </c>
      <c r="P39" s="27" t="s">
        <v>14</v>
      </c>
      <c r="Q39" s="27" t="s">
        <v>15</v>
      </c>
      <c r="R39" s="27" t="s">
        <v>16</v>
      </c>
      <c r="S39" s="27" t="s">
        <v>17</v>
      </c>
      <c r="T39" s="27" t="s">
        <v>18</v>
      </c>
      <c r="U39" s="27" t="s">
        <v>19</v>
      </c>
      <c r="V39" s="27" t="s">
        <v>20</v>
      </c>
      <c r="W39" s="27" t="s">
        <v>21</v>
      </c>
      <c r="X39" s="27" t="s">
        <v>22</v>
      </c>
      <c r="Y39" s="27" t="s">
        <v>23</v>
      </c>
      <c r="Z39" s="27" t="s">
        <v>24</v>
      </c>
      <c r="AA39" s="27" t="s">
        <v>25</v>
      </c>
      <c r="AB39" s="27" t="s">
        <v>26</v>
      </c>
      <c r="AC39" s="27" t="s">
        <v>27</v>
      </c>
      <c r="AD39" s="27" t="s">
        <v>28</v>
      </c>
      <c r="AE39" s="27" t="s">
        <v>29</v>
      </c>
      <c r="AF39" s="27" t="s">
        <v>30</v>
      </c>
      <c r="AG39" s="38" t="s">
        <v>47</v>
      </c>
      <c r="AH39" s="7"/>
    </row>
    <row r="40" spans="1:34" s="1" customFormat="1" ht="15.5" x14ac:dyDescent="0.35">
      <c r="A40" s="76" t="s">
        <v>55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34">
        <f>COUNTA(Mar[[#This Row],[1]:[31]])</f>
        <v>0</v>
      </c>
      <c r="AH40" s="2"/>
    </row>
    <row r="41" spans="1:34" s="1" customFormat="1" ht="15.5" x14ac:dyDescent="0.35">
      <c r="A41" s="76" t="s">
        <v>56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34">
        <f>COUNTA(Mar[[#This Row],[1]:[31]])</f>
        <v>0</v>
      </c>
      <c r="AH41" s="2"/>
    </row>
    <row r="42" spans="1:34" s="1" customFormat="1" ht="15.5" x14ac:dyDescent="0.35">
      <c r="A42" s="77" t="s">
        <v>49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47">
        <f>COUNTA(Mar[[#This Row],[1]:[31]])</f>
        <v>0</v>
      </c>
      <c r="AH42" s="2"/>
    </row>
    <row r="43" spans="1:34" s="1" customFormat="1" ht="15.5" x14ac:dyDescent="0.35">
      <c r="A43" s="77" t="s">
        <v>57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47">
        <f>COUNTA(Mar[[#This Row],[1]:[31]])</f>
        <v>0</v>
      </c>
      <c r="AH43" s="2"/>
    </row>
    <row r="44" spans="1:34" s="1" customFormat="1" ht="15.5" x14ac:dyDescent="0.35">
      <c r="A44" s="76" t="s">
        <v>58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34">
        <f>COUNTA(Mar[[#This Row],[1]:[31]])</f>
        <v>0</v>
      </c>
      <c r="AH44" s="2"/>
    </row>
    <row r="45" spans="1:34" ht="14.5" x14ac:dyDescent="0.25">
      <c r="A45" s="79" t="str">
        <f>A37 &amp; " Total"</f>
        <v>March Summary Total</v>
      </c>
      <c r="B45" s="46">
        <f>SUBTOTAL(103,Mar[1])</f>
        <v>0</v>
      </c>
      <c r="C45" s="46">
        <f>SUBTOTAL(103,Mar[2])</f>
        <v>0</v>
      </c>
      <c r="D45" s="46">
        <f>SUBTOTAL(103,Mar[3])</f>
        <v>0</v>
      </c>
      <c r="E45" s="46">
        <f>SUBTOTAL(103,Mar[4])</f>
        <v>0</v>
      </c>
      <c r="F45" s="46">
        <f>SUBTOTAL(103,Mar[5])</f>
        <v>0</v>
      </c>
      <c r="G45" s="46">
        <f>SUBTOTAL(103,Mar[6])</f>
        <v>0</v>
      </c>
      <c r="H45" s="46">
        <f>SUBTOTAL(103,Mar[7])</f>
        <v>0</v>
      </c>
      <c r="I45" s="46">
        <f>SUBTOTAL(103,Mar[8])</f>
        <v>0</v>
      </c>
      <c r="J45" s="46">
        <f>SUBTOTAL(103,Mar[9])</f>
        <v>0</v>
      </c>
      <c r="K45" s="46">
        <f>SUBTOTAL(103,Mar[10])</f>
        <v>0</v>
      </c>
      <c r="L45" s="46">
        <f>SUBTOTAL(103,Mar[11])</f>
        <v>0</v>
      </c>
      <c r="M45" s="46">
        <f>SUBTOTAL(103,Mar[12])</f>
        <v>0</v>
      </c>
      <c r="N45" s="46">
        <f>SUBTOTAL(103,Mar[13])</f>
        <v>0</v>
      </c>
      <c r="O45" s="46">
        <f>SUBTOTAL(103,Mar[14])</f>
        <v>0</v>
      </c>
      <c r="P45" s="46">
        <f>SUBTOTAL(103,Mar[15])</f>
        <v>0</v>
      </c>
      <c r="Q45" s="46">
        <f>SUBTOTAL(103,Mar[16])</f>
        <v>0</v>
      </c>
      <c r="R45" s="46">
        <f>SUBTOTAL(103,Mar[17])</f>
        <v>0</v>
      </c>
      <c r="S45" s="46">
        <f>SUBTOTAL(103,Mar[18])</f>
        <v>0</v>
      </c>
      <c r="T45" s="46">
        <f>SUBTOTAL(103,Mar[19])</f>
        <v>0</v>
      </c>
      <c r="U45" s="46">
        <f>SUBTOTAL(103,Mar[20])</f>
        <v>0</v>
      </c>
      <c r="V45" s="46">
        <f>SUBTOTAL(103,Mar[21])</f>
        <v>0</v>
      </c>
      <c r="W45" s="46">
        <f>SUBTOTAL(103,Mar[22])</f>
        <v>0</v>
      </c>
      <c r="X45" s="46">
        <f>SUBTOTAL(103,Mar[23])</f>
        <v>0</v>
      </c>
      <c r="Y45" s="46">
        <f>SUBTOTAL(103,Mar[24])</f>
        <v>0</v>
      </c>
      <c r="Z45" s="46">
        <f>SUBTOTAL(103,Mar[25])</f>
        <v>0</v>
      </c>
      <c r="AA45" s="46">
        <f>SUBTOTAL(103,Mar[26])</f>
        <v>0</v>
      </c>
      <c r="AB45" s="46">
        <f>SUBTOTAL(103,Mar[27])</f>
        <v>0</v>
      </c>
      <c r="AC45" s="46">
        <f>SUBTOTAL(103,Mar[28])</f>
        <v>0</v>
      </c>
      <c r="AD45" s="46">
        <f>SUBTOTAL(103,Mar[29])</f>
        <v>0</v>
      </c>
      <c r="AE45" s="46">
        <f>SUBTOTAL(103,Mar[30])</f>
        <v>0</v>
      </c>
      <c r="AF45" s="46">
        <f>SUBTOTAL(103,Mar[31])</f>
        <v>0</v>
      </c>
      <c r="AG45" s="47">
        <f>SUBTOTAL(109,Mar[Total Days Traveled])</f>
        <v>0</v>
      </c>
    </row>
    <row r="46" spans="1:34" customFormat="1" ht="14.5" x14ac:dyDescent="0.3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</row>
    <row r="47" spans="1:34" customFormat="1" ht="16" thickBot="1" x14ac:dyDescent="0.4">
      <c r="A47" s="80"/>
      <c r="B47" s="39" t="s">
        <v>31</v>
      </c>
      <c r="C47" s="40"/>
      <c r="D47" s="41"/>
      <c r="E47" s="32"/>
      <c r="F47" s="32"/>
      <c r="G47" s="17" t="s">
        <v>52</v>
      </c>
      <c r="H47" s="73" t="s">
        <v>39</v>
      </c>
      <c r="I47" s="37"/>
      <c r="J47" s="37"/>
      <c r="K47" s="13" t="s">
        <v>51</v>
      </c>
      <c r="L47" s="73" t="s">
        <v>40</v>
      </c>
      <c r="M47" s="37"/>
      <c r="N47" s="37"/>
      <c r="O47" s="14" t="s">
        <v>42</v>
      </c>
      <c r="P47" s="73" t="s">
        <v>41</v>
      </c>
      <c r="Q47" s="37"/>
      <c r="R47" s="37"/>
      <c r="S47" s="15" t="s">
        <v>44</v>
      </c>
      <c r="T47" s="73" t="s">
        <v>43</v>
      </c>
      <c r="U47" s="36"/>
      <c r="V47" s="37"/>
      <c r="W47" s="16" t="s">
        <v>45</v>
      </c>
      <c r="X47" s="24" t="s">
        <v>46</v>
      </c>
      <c r="Y47" s="25"/>
      <c r="Z47" s="26"/>
      <c r="AA47" s="74"/>
      <c r="AB47" s="74"/>
      <c r="AC47" s="74"/>
      <c r="AD47" s="74"/>
      <c r="AE47" s="74"/>
      <c r="AF47" s="10"/>
      <c r="AG47" s="9"/>
    </row>
    <row r="48" spans="1:34" customFormat="1" ht="15" customHeight="1" x14ac:dyDescent="0.35">
      <c r="A48" s="81"/>
    </row>
    <row r="49" spans="1:34" customFormat="1" ht="15" customHeight="1" x14ac:dyDescent="0.35">
      <c r="A49" s="81"/>
    </row>
    <row r="50" spans="1:34" customFormat="1" ht="15" customHeight="1" x14ac:dyDescent="0.35">
      <c r="A50" s="81"/>
    </row>
    <row r="51" spans="1:34" customFormat="1" ht="15" customHeight="1" x14ac:dyDescent="0.35">
      <c r="A51" s="81"/>
    </row>
    <row r="52" spans="1:34" customFormat="1" ht="15" customHeight="1" x14ac:dyDescent="0.35">
      <c r="A52" s="81"/>
    </row>
    <row r="53" spans="1:34" customFormat="1" ht="15" customHeight="1" x14ac:dyDescent="0.35">
      <c r="A53" s="81"/>
    </row>
    <row r="54" spans="1:34" s="4" customFormat="1" ht="30" customHeight="1" x14ac:dyDescent="0.35">
      <c r="A54" s="87" t="s">
        <v>65</v>
      </c>
      <c r="B54" s="89" t="s">
        <v>38</v>
      </c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>
        <v>2025</v>
      </c>
      <c r="AH54" s="3"/>
    </row>
    <row r="55" spans="1:34" s="6" customFormat="1" ht="15.75" customHeight="1" x14ac:dyDescent="0.3">
      <c r="A55" s="88"/>
      <c r="B55" s="29" t="str">
        <f>TEXT(WEEKDAY(DATE(CalendarYear,1,1),1),"aaa")</f>
        <v>Wed</v>
      </c>
      <c r="C55" s="30" t="str">
        <f>TEXT(WEEKDAY(DATE(CalendarYear,1,2),1),"aaa")</f>
        <v>Thu</v>
      </c>
      <c r="D55" s="30" t="str">
        <f>TEXT(WEEKDAY(DATE(CalendarYear,1,3),1),"aaa")</f>
        <v>Fri</v>
      </c>
      <c r="E55" s="30" t="str">
        <f>TEXT(WEEKDAY(DATE(CalendarYear,1,4),1),"aaa")</f>
        <v>Sat</v>
      </c>
      <c r="F55" s="30" t="str">
        <f>TEXT(WEEKDAY(DATE(CalendarYear,1,5),1),"aaa")</f>
        <v>Sun</v>
      </c>
      <c r="G55" s="30" t="str">
        <f>TEXT(WEEKDAY(DATE(CalendarYear,1,6),1),"aaa")</f>
        <v>Mon</v>
      </c>
      <c r="H55" s="30" t="str">
        <f>TEXT(WEEKDAY(DATE(CalendarYear,1,7),1),"aaa")</f>
        <v>Tue</v>
      </c>
      <c r="I55" s="30" t="str">
        <f>TEXT(WEEKDAY(DATE(CalendarYear,1,8),1),"aaa")</f>
        <v>Wed</v>
      </c>
      <c r="J55" s="30" t="str">
        <f>TEXT(WEEKDAY(DATE(CalendarYear,1,9),1),"aaa")</f>
        <v>Thu</v>
      </c>
      <c r="K55" s="30" t="str">
        <f>TEXT(WEEKDAY(DATE(CalendarYear,1,10),1),"aaa")</f>
        <v>Fri</v>
      </c>
      <c r="L55" s="30" t="str">
        <f>TEXT(WEEKDAY(DATE(CalendarYear,1,11),1),"aaa")</f>
        <v>Sat</v>
      </c>
      <c r="M55" s="30" t="str">
        <f>TEXT(WEEKDAY(DATE(CalendarYear,1,12),1),"aaa")</f>
        <v>Sun</v>
      </c>
      <c r="N55" s="30" t="str">
        <f>TEXT(WEEKDAY(DATE(CalendarYear,1,13),1),"aaa")</f>
        <v>Mon</v>
      </c>
      <c r="O55" s="30" t="str">
        <f>TEXT(WEEKDAY(DATE(CalendarYear,1,14),1),"aaa")</f>
        <v>Tue</v>
      </c>
      <c r="P55" s="30" t="str">
        <f>TEXT(WEEKDAY(DATE(CalendarYear,1,15),1),"aaa")</f>
        <v>Wed</v>
      </c>
      <c r="Q55" s="30" t="str">
        <f>TEXT(WEEKDAY(DATE(CalendarYear,1,16),1),"aaa")</f>
        <v>Thu</v>
      </c>
      <c r="R55" s="30" t="str">
        <f>TEXT(WEEKDAY(DATE(CalendarYear,1,17),1),"aaa")</f>
        <v>Fri</v>
      </c>
      <c r="S55" s="30" t="str">
        <f>TEXT(WEEKDAY(DATE(CalendarYear,1,18),1),"aaa")</f>
        <v>Sat</v>
      </c>
      <c r="T55" s="30" t="str">
        <f>TEXT(WEEKDAY(DATE(CalendarYear,1,19),1),"aaa")</f>
        <v>Sun</v>
      </c>
      <c r="U55" s="30" t="str">
        <f>TEXT(WEEKDAY(DATE(CalendarYear,1,20),1),"aaa")</f>
        <v>Mon</v>
      </c>
      <c r="V55" s="30" t="str">
        <f>TEXT(WEEKDAY(DATE(CalendarYear,1,21),1),"aaa")</f>
        <v>Tue</v>
      </c>
      <c r="W55" s="30" t="str">
        <f>TEXT(WEEKDAY(DATE(CalendarYear,1,22),1),"aaa")</f>
        <v>Wed</v>
      </c>
      <c r="X55" s="30" t="str">
        <f>TEXT(WEEKDAY(DATE(CalendarYear,1,23),1),"aaa")</f>
        <v>Thu</v>
      </c>
      <c r="Y55" s="30" t="str">
        <f>TEXT(WEEKDAY(DATE(CalendarYear,1,24),1),"aaa")</f>
        <v>Fri</v>
      </c>
      <c r="Z55" s="30" t="str">
        <f>TEXT(WEEKDAY(DATE(CalendarYear,1,25),1),"aaa")</f>
        <v>Sat</v>
      </c>
      <c r="AA55" s="30" t="str">
        <f>TEXT(WEEKDAY(DATE(CalendarYear,1,26),1),"aaa")</f>
        <v>Sun</v>
      </c>
      <c r="AB55" s="30" t="str">
        <f>TEXT(WEEKDAY(DATE(CalendarYear,1,27),1),"aaa")</f>
        <v>Mon</v>
      </c>
      <c r="AC55" s="30" t="str">
        <f>TEXT(WEEKDAY(DATE(CalendarYear,1,28),1),"aaa")</f>
        <v>Tue</v>
      </c>
      <c r="AD55" s="30" t="str">
        <f>TEXT(WEEKDAY(DATE(CalendarYear,1,29),1),"aaa")</f>
        <v>Wed</v>
      </c>
      <c r="AE55" s="30" t="str">
        <f>TEXT(WEEKDAY(DATE(CalendarYear,1,30),1),"aaa")</f>
        <v>Thu</v>
      </c>
      <c r="AF55" s="31" t="str">
        <f>TEXT(WEEKDAY(DATE(CalendarYear,1,31),1),"aaa")</f>
        <v>Fri</v>
      </c>
      <c r="AG55" s="90"/>
      <c r="AH55" s="5"/>
    </row>
    <row r="56" spans="1:34" s="8" customFormat="1" ht="18.5" x14ac:dyDescent="0.35">
      <c r="A56" s="75" t="s">
        <v>53</v>
      </c>
      <c r="B56" s="27" t="s">
        <v>0</v>
      </c>
      <c r="C56" s="27" t="s">
        <v>1</v>
      </c>
      <c r="D56" s="27" t="s">
        <v>2</v>
      </c>
      <c r="E56" s="27" t="s">
        <v>3</v>
      </c>
      <c r="F56" s="27" t="s">
        <v>4</v>
      </c>
      <c r="G56" s="27" t="s">
        <v>5</v>
      </c>
      <c r="H56" s="27" t="s">
        <v>6</v>
      </c>
      <c r="I56" s="27" t="s">
        <v>7</v>
      </c>
      <c r="J56" s="27" t="s">
        <v>8</v>
      </c>
      <c r="K56" s="27" t="s">
        <v>9</v>
      </c>
      <c r="L56" s="27" t="s">
        <v>10</v>
      </c>
      <c r="M56" s="27" t="s">
        <v>11</v>
      </c>
      <c r="N56" s="27" t="s">
        <v>12</v>
      </c>
      <c r="O56" s="27" t="s">
        <v>13</v>
      </c>
      <c r="P56" s="27" t="s">
        <v>14</v>
      </c>
      <c r="Q56" s="27" t="s">
        <v>15</v>
      </c>
      <c r="R56" s="27" t="s">
        <v>16</v>
      </c>
      <c r="S56" s="27" t="s">
        <v>17</v>
      </c>
      <c r="T56" s="27" t="s">
        <v>18</v>
      </c>
      <c r="U56" s="27" t="s">
        <v>19</v>
      </c>
      <c r="V56" s="27" t="s">
        <v>20</v>
      </c>
      <c r="W56" s="27" t="s">
        <v>21</v>
      </c>
      <c r="X56" s="27" t="s">
        <v>22</v>
      </c>
      <c r="Y56" s="27" t="s">
        <v>23</v>
      </c>
      <c r="Z56" s="27" t="s">
        <v>24</v>
      </c>
      <c r="AA56" s="27" t="s">
        <v>25</v>
      </c>
      <c r="AB56" s="27" t="s">
        <v>26</v>
      </c>
      <c r="AC56" s="27" t="s">
        <v>27</v>
      </c>
      <c r="AD56" s="27" t="s">
        <v>28</v>
      </c>
      <c r="AE56" s="27" t="s">
        <v>29</v>
      </c>
      <c r="AF56" s="27" t="s">
        <v>30</v>
      </c>
      <c r="AG56" s="38" t="s">
        <v>47</v>
      </c>
      <c r="AH56" s="7"/>
    </row>
    <row r="57" spans="1:34" s="1" customFormat="1" ht="15.5" x14ac:dyDescent="0.35">
      <c r="A57" s="76" t="s">
        <v>55</v>
      </c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34">
        <f>COUNTA(Apr[[#This Row],[1]:[31]])</f>
        <v>0</v>
      </c>
      <c r="AH57" s="2"/>
    </row>
    <row r="58" spans="1:34" s="1" customFormat="1" ht="15.5" x14ac:dyDescent="0.35">
      <c r="A58" s="76" t="s">
        <v>56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34">
        <f>COUNTA(Apr[[#This Row],[1]:[31]])</f>
        <v>0</v>
      </c>
      <c r="AH58" s="2"/>
    </row>
    <row r="59" spans="1:34" s="1" customFormat="1" ht="15.5" x14ac:dyDescent="0.35">
      <c r="A59" s="77" t="s">
        <v>49</v>
      </c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47">
        <f>COUNTA(Apr[[#This Row],[1]:[31]])</f>
        <v>0</v>
      </c>
      <c r="AH59" s="2"/>
    </row>
    <row r="60" spans="1:34" s="1" customFormat="1" ht="15.5" x14ac:dyDescent="0.35">
      <c r="A60" s="77" t="s">
        <v>57</v>
      </c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47">
        <f>COUNTA(Apr[[#This Row],[1]:[31]])</f>
        <v>0</v>
      </c>
      <c r="AH60" s="2"/>
    </row>
    <row r="61" spans="1:34" s="1" customFormat="1" ht="15.5" x14ac:dyDescent="0.35">
      <c r="A61" s="76" t="s">
        <v>58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34">
        <f>COUNTA(Apr[[#This Row],[1]:[31]])</f>
        <v>0</v>
      </c>
      <c r="AH61" s="2"/>
    </row>
    <row r="62" spans="1:34" ht="14.5" x14ac:dyDescent="0.25">
      <c r="A62" s="79" t="str">
        <f>A54 &amp; " Total"</f>
        <v>April Summary Total</v>
      </c>
      <c r="B62" s="46">
        <f>SUBTOTAL(103,Apr[1])</f>
        <v>0</v>
      </c>
      <c r="C62" s="46">
        <f>SUBTOTAL(103,Apr[2])</f>
        <v>0</v>
      </c>
      <c r="D62" s="46">
        <f>SUBTOTAL(103,Apr[3])</f>
        <v>0</v>
      </c>
      <c r="E62" s="46">
        <f>SUBTOTAL(103,Apr[4])</f>
        <v>0</v>
      </c>
      <c r="F62" s="46">
        <f>SUBTOTAL(103,Apr[5])</f>
        <v>0</v>
      </c>
      <c r="G62" s="46">
        <f>SUBTOTAL(103,Apr[6])</f>
        <v>0</v>
      </c>
      <c r="H62" s="46">
        <f>SUBTOTAL(103,Apr[7])</f>
        <v>0</v>
      </c>
      <c r="I62" s="46">
        <f>SUBTOTAL(103,Apr[8])</f>
        <v>0</v>
      </c>
      <c r="J62" s="46">
        <f>SUBTOTAL(103,Apr[9])</f>
        <v>0</v>
      </c>
      <c r="K62" s="46">
        <f>SUBTOTAL(103,Apr[10])</f>
        <v>0</v>
      </c>
      <c r="L62" s="46">
        <f>SUBTOTAL(103,Apr[11])</f>
        <v>0</v>
      </c>
      <c r="M62" s="46">
        <f>SUBTOTAL(103,Apr[12])</f>
        <v>0</v>
      </c>
      <c r="N62" s="46">
        <f>SUBTOTAL(103,Apr[13])</f>
        <v>0</v>
      </c>
      <c r="O62" s="46">
        <f>SUBTOTAL(103,Apr[14])</f>
        <v>0</v>
      </c>
      <c r="P62" s="46">
        <f>SUBTOTAL(103,Apr[15])</f>
        <v>0</v>
      </c>
      <c r="Q62" s="46">
        <f>SUBTOTAL(103,Apr[16])</f>
        <v>0</v>
      </c>
      <c r="R62" s="46">
        <f>SUBTOTAL(103,Apr[17])</f>
        <v>0</v>
      </c>
      <c r="S62" s="46">
        <f>SUBTOTAL(103,Apr[18])</f>
        <v>0</v>
      </c>
      <c r="T62" s="46">
        <f>SUBTOTAL(103,Apr[19])</f>
        <v>0</v>
      </c>
      <c r="U62" s="46">
        <f>SUBTOTAL(103,Apr[20])</f>
        <v>0</v>
      </c>
      <c r="V62" s="46">
        <f>SUBTOTAL(103,Apr[21])</f>
        <v>0</v>
      </c>
      <c r="W62" s="46">
        <f>SUBTOTAL(103,Apr[22])</f>
        <v>0</v>
      </c>
      <c r="X62" s="46">
        <f>SUBTOTAL(103,Apr[23])</f>
        <v>0</v>
      </c>
      <c r="Y62" s="46">
        <f>SUBTOTAL(103,Apr[24])</f>
        <v>0</v>
      </c>
      <c r="Z62" s="46">
        <f>SUBTOTAL(103,Apr[25])</f>
        <v>0</v>
      </c>
      <c r="AA62" s="46">
        <f>SUBTOTAL(103,Apr[26])</f>
        <v>0</v>
      </c>
      <c r="AB62" s="46">
        <f>SUBTOTAL(103,Apr[27])</f>
        <v>0</v>
      </c>
      <c r="AC62" s="46">
        <f>SUBTOTAL(103,Apr[28])</f>
        <v>0</v>
      </c>
      <c r="AD62" s="46">
        <f>SUBTOTAL(103,Apr[29])</f>
        <v>0</v>
      </c>
      <c r="AE62" s="46">
        <f>SUBTOTAL(103,Apr[30])</f>
        <v>0</v>
      </c>
      <c r="AF62" s="46">
        <f>SUBTOTAL(103,Apr[31])</f>
        <v>0</v>
      </c>
      <c r="AG62" s="47">
        <f>SUBTOTAL(109,Apr[Total Days Traveled])</f>
        <v>0</v>
      </c>
    </row>
    <row r="63" spans="1:34" customFormat="1" ht="14.5" x14ac:dyDescent="0.35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</row>
    <row r="64" spans="1:34" customFormat="1" ht="16" thickBot="1" x14ac:dyDescent="0.4">
      <c r="A64" s="80"/>
      <c r="B64" s="39" t="s">
        <v>31</v>
      </c>
      <c r="C64" s="40"/>
      <c r="D64" s="41"/>
      <c r="E64" s="32"/>
      <c r="F64" s="32"/>
      <c r="G64" s="17" t="s">
        <v>52</v>
      </c>
      <c r="H64" s="73" t="s">
        <v>39</v>
      </c>
      <c r="I64" s="37"/>
      <c r="J64" s="37"/>
      <c r="K64" s="13" t="s">
        <v>51</v>
      </c>
      <c r="L64" s="73" t="s">
        <v>40</v>
      </c>
      <c r="M64" s="37"/>
      <c r="N64" s="37"/>
      <c r="O64" s="14" t="s">
        <v>42</v>
      </c>
      <c r="P64" s="73" t="s">
        <v>41</v>
      </c>
      <c r="Q64" s="37"/>
      <c r="R64" s="37"/>
      <c r="S64" s="15" t="s">
        <v>44</v>
      </c>
      <c r="T64" s="73" t="s">
        <v>43</v>
      </c>
      <c r="U64" s="36"/>
      <c r="V64" s="37"/>
      <c r="W64" s="16" t="s">
        <v>45</v>
      </c>
      <c r="X64" s="24" t="s">
        <v>46</v>
      </c>
      <c r="Y64" s="25"/>
      <c r="Z64" s="26"/>
      <c r="AA64" s="74"/>
      <c r="AB64" s="74"/>
      <c r="AC64" s="74"/>
      <c r="AD64" s="74"/>
      <c r="AE64" s="74"/>
      <c r="AF64" s="10"/>
      <c r="AG64" s="9"/>
    </row>
    <row r="65" spans="1:34" customFormat="1" ht="15" customHeight="1" x14ac:dyDescent="0.35">
      <c r="A65" s="81"/>
    </row>
    <row r="66" spans="1:34" customFormat="1" ht="15" customHeight="1" x14ac:dyDescent="0.35">
      <c r="A66" s="81"/>
    </row>
    <row r="67" spans="1:34" customFormat="1" ht="15" customHeight="1" x14ac:dyDescent="0.35">
      <c r="A67" s="81"/>
    </row>
    <row r="68" spans="1:34" customFormat="1" ht="15" customHeight="1" x14ac:dyDescent="0.35">
      <c r="A68" s="81"/>
    </row>
    <row r="69" spans="1:34" customFormat="1" ht="15" customHeight="1" x14ac:dyDescent="0.35">
      <c r="A69" s="81"/>
    </row>
    <row r="70" spans="1:34" customFormat="1" ht="15" customHeight="1" x14ac:dyDescent="0.35">
      <c r="A70" s="81"/>
    </row>
    <row r="71" spans="1:34" s="4" customFormat="1" ht="30" customHeight="1" x14ac:dyDescent="0.35">
      <c r="A71" s="87" t="s">
        <v>66</v>
      </c>
      <c r="B71" s="89" t="s">
        <v>38</v>
      </c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>
        <v>2025</v>
      </c>
      <c r="AH71" s="3"/>
    </row>
    <row r="72" spans="1:34" s="6" customFormat="1" ht="15.75" customHeight="1" x14ac:dyDescent="0.3">
      <c r="A72" s="88"/>
      <c r="B72" s="29" t="str">
        <f>TEXT(WEEKDAY(DATE(CalendarYear,1,1),1),"aaa")</f>
        <v>Wed</v>
      </c>
      <c r="C72" s="30" t="str">
        <f>TEXT(WEEKDAY(DATE(CalendarYear,1,2),1),"aaa")</f>
        <v>Thu</v>
      </c>
      <c r="D72" s="30" t="str">
        <f>TEXT(WEEKDAY(DATE(CalendarYear,1,3),1),"aaa")</f>
        <v>Fri</v>
      </c>
      <c r="E72" s="30" t="str">
        <f>TEXT(WEEKDAY(DATE(CalendarYear,1,4),1),"aaa")</f>
        <v>Sat</v>
      </c>
      <c r="F72" s="30" t="str">
        <f>TEXT(WEEKDAY(DATE(CalendarYear,1,5),1),"aaa")</f>
        <v>Sun</v>
      </c>
      <c r="G72" s="30" t="str">
        <f>TEXT(WEEKDAY(DATE(CalendarYear,1,6),1),"aaa")</f>
        <v>Mon</v>
      </c>
      <c r="H72" s="30" t="str">
        <f>TEXT(WEEKDAY(DATE(CalendarYear,1,7),1),"aaa")</f>
        <v>Tue</v>
      </c>
      <c r="I72" s="30" t="str">
        <f>TEXT(WEEKDAY(DATE(CalendarYear,1,8),1),"aaa")</f>
        <v>Wed</v>
      </c>
      <c r="J72" s="30" t="str">
        <f>TEXT(WEEKDAY(DATE(CalendarYear,1,9),1),"aaa")</f>
        <v>Thu</v>
      </c>
      <c r="K72" s="30" t="str">
        <f>TEXT(WEEKDAY(DATE(CalendarYear,1,10),1),"aaa")</f>
        <v>Fri</v>
      </c>
      <c r="L72" s="30" t="str">
        <f>TEXT(WEEKDAY(DATE(CalendarYear,1,11),1),"aaa")</f>
        <v>Sat</v>
      </c>
      <c r="M72" s="30" t="str">
        <f>TEXT(WEEKDAY(DATE(CalendarYear,1,12),1),"aaa")</f>
        <v>Sun</v>
      </c>
      <c r="N72" s="30" t="str">
        <f>TEXT(WEEKDAY(DATE(CalendarYear,1,13),1),"aaa")</f>
        <v>Mon</v>
      </c>
      <c r="O72" s="30" t="str">
        <f>TEXT(WEEKDAY(DATE(CalendarYear,1,14),1),"aaa")</f>
        <v>Tue</v>
      </c>
      <c r="P72" s="30" t="str">
        <f>TEXT(WEEKDAY(DATE(CalendarYear,1,15),1),"aaa")</f>
        <v>Wed</v>
      </c>
      <c r="Q72" s="30" t="str">
        <f>TEXT(WEEKDAY(DATE(CalendarYear,1,16),1),"aaa")</f>
        <v>Thu</v>
      </c>
      <c r="R72" s="30" t="str">
        <f>TEXT(WEEKDAY(DATE(CalendarYear,1,17),1),"aaa")</f>
        <v>Fri</v>
      </c>
      <c r="S72" s="30" t="str">
        <f>TEXT(WEEKDAY(DATE(CalendarYear,1,18),1),"aaa")</f>
        <v>Sat</v>
      </c>
      <c r="T72" s="30" t="str">
        <f>TEXT(WEEKDAY(DATE(CalendarYear,1,19),1),"aaa")</f>
        <v>Sun</v>
      </c>
      <c r="U72" s="30" t="str">
        <f>TEXT(WEEKDAY(DATE(CalendarYear,1,20),1),"aaa")</f>
        <v>Mon</v>
      </c>
      <c r="V72" s="30" t="str">
        <f>TEXT(WEEKDAY(DATE(CalendarYear,1,21),1),"aaa")</f>
        <v>Tue</v>
      </c>
      <c r="W72" s="30" t="str">
        <f>TEXT(WEEKDAY(DATE(CalendarYear,1,22),1),"aaa")</f>
        <v>Wed</v>
      </c>
      <c r="X72" s="30" t="str">
        <f>TEXT(WEEKDAY(DATE(CalendarYear,1,23),1),"aaa")</f>
        <v>Thu</v>
      </c>
      <c r="Y72" s="30" t="str">
        <f>TEXT(WEEKDAY(DATE(CalendarYear,1,24),1),"aaa")</f>
        <v>Fri</v>
      </c>
      <c r="Z72" s="30" t="str">
        <f>TEXT(WEEKDAY(DATE(CalendarYear,1,25),1),"aaa")</f>
        <v>Sat</v>
      </c>
      <c r="AA72" s="30" t="str">
        <f>TEXT(WEEKDAY(DATE(CalendarYear,1,26),1),"aaa")</f>
        <v>Sun</v>
      </c>
      <c r="AB72" s="30" t="str">
        <f>TEXT(WEEKDAY(DATE(CalendarYear,1,27),1),"aaa")</f>
        <v>Mon</v>
      </c>
      <c r="AC72" s="30" t="str">
        <f>TEXT(WEEKDAY(DATE(CalendarYear,1,28),1),"aaa")</f>
        <v>Tue</v>
      </c>
      <c r="AD72" s="30" t="str">
        <f>TEXT(WEEKDAY(DATE(CalendarYear,1,29),1),"aaa")</f>
        <v>Wed</v>
      </c>
      <c r="AE72" s="30" t="str">
        <f>TEXT(WEEKDAY(DATE(CalendarYear,1,30),1),"aaa")</f>
        <v>Thu</v>
      </c>
      <c r="AF72" s="31" t="str">
        <f>TEXT(WEEKDAY(DATE(CalendarYear,1,31),1),"aaa")</f>
        <v>Fri</v>
      </c>
      <c r="AG72" s="90"/>
      <c r="AH72" s="5"/>
    </row>
    <row r="73" spans="1:34" s="8" customFormat="1" ht="18.5" x14ac:dyDescent="0.35">
      <c r="A73" s="75" t="s">
        <v>53</v>
      </c>
      <c r="B73" s="27" t="s">
        <v>0</v>
      </c>
      <c r="C73" s="27" t="s">
        <v>1</v>
      </c>
      <c r="D73" s="27" t="s">
        <v>2</v>
      </c>
      <c r="E73" s="27" t="s">
        <v>3</v>
      </c>
      <c r="F73" s="27" t="s">
        <v>4</v>
      </c>
      <c r="G73" s="27" t="s">
        <v>5</v>
      </c>
      <c r="H73" s="27" t="s">
        <v>6</v>
      </c>
      <c r="I73" s="27" t="s">
        <v>7</v>
      </c>
      <c r="J73" s="27" t="s">
        <v>8</v>
      </c>
      <c r="K73" s="27" t="s">
        <v>9</v>
      </c>
      <c r="L73" s="27" t="s">
        <v>10</v>
      </c>
      <c r="M73" s="27" t="s">
        <v>11</v>
      </c>
      <c r="N73" s="27" t="s">
        <v>12</v>
      </c>
      <c r="O73" s="27" t="s">
        <v>13</v>
      </c>
      <c r="P73" s="27" t="s">
        <v>14</v>
      </c>
      <c r="Q73" s="27" t="s">
        <v>15</v>
      </c>
      <c r="R73" s="27" t="s">
        <v>16</v>
      </c>
      <c r="S73" s="27" t="s">
        <v>17</v>
      </c>
      <c r="T73" s="27" t="s">
        <v>18</v>
      </c>
      <c r="U73" s="27" t="s">
        <v>19</v>
      </c>
      <c r="V73" s="27" t="s">
        <v>20</v>
      </c>
      <c r="W73" s="27" t="s">
        <v>21</v>
      </c>
      <c r="X73" s="27" t="s">
        <v>22</v>
      </c>
      <c r="Y73" s="27" t="s">
        <v>23</v>
      </c>
      <c r="Z73" s="27" t="s">
        <v>24</v>
      </c>
      <c r="AA73" s="27" t="s">
        <v>25</v>
      </c>
      <c r="AB73" s="27" t="s">
        <v>26</v>
      </c>
      <c r="AC73" s="27" t="s">
        <v>27</v>
      </c>
      <c r="AD73" s="27" t="s">
        <v>28</v>
      </c>
      <c r="AE73" s="27" t="s">
        <v>29</v>
      </c>
      <c r="AF73" s="27" t="s">
        <v>30</v>
      </c>
      <c r="AG73" s="38" t="s">
        <v>47</v>
      </c>
      <c r="AH73" s="7"/>
    </row>
    <row r="74" spans="1:34" s="1" customFormat="1" ht="15.5" x14ac:dyDescent="0.35">
      <c r="A74" s="76" t="s">
        <v>55</v>
      </c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34">
        <f>COUNTA(May[[#This Row],[1]:[31]])</f>
        <v>0</v>
      </c>
      <c r="AH74" s="2"/>
    </row>
    <row r="75" spans="1:34" s="1" customFormat="1" ht="15.5" x14ac:dyDescent="0.35">
      <c r="A75" s="76" t="s">
        <v>56</v>
      </c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34">
        <f>COUNTA(May[[#This Row],[1]:[31]])</f>
        <v>0</v>
      </c>
      <c r="AH75" s="2"/>
    </row>
    <row r="76" spans="1:34" s="1" customFormat="1" ht="15.5" x14ac:dyDescent="0.35">
      <c r="A76" s="77" t="s">
        <v>49</v>
      </c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47">
        <f>COUNTA(May[[#This Row],[1]:[31]])</f>
        <v>0</v>
      </c>
      <c r="AH76" s="2"/>
    </row>
    <row r="77" spans="1:34" s="1" customFormat="1" ht="15.5" x14ac:dyDescent="0.35">
      <c r="A77" s="77" t="s">
        <v>57</v>
      </c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47">
        <f>COUNTA(May[[#This Row],[1]:[31]])</f>
        <v>0</v>
      </c>
      <c r="AH77" s="2"/>
    </row>
    <row r="78" spans="1:34" s="1" customFormat="1" ht="15.5" x14ac:dyDescent="0.35">
      <c r="A78" s="76" t="s">
        <v>58</v>
      </c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34">
        <f>COUNTA(May[[#This Row],[1]:[31]])</f>
        <v>0</v>
      </c>
      <c r="AH78" s="2"/>
    </row>
    <row r="79" spans="1:34" ht="14.5" x14ac:dyDescent="0.25">
      <c r="A79" s="79" t="str">
        <f>A71 &amp; " Total"</f>
        <v>May Summary Total</v>
      </c>
      <c r="B79" s="46">
        <f>SUBTOTAL(103,May[1])</f>
        <v>0</v>
      </c>
      <c r="C79" s="46">
        <f>SUBTOTAL(103,May[2])</f>
        <v>0</v>
      </c>
      <c r="D79" s="46">
        <f>SUBTOTAL(103,May[3])</f>
        <v>0</v>
      </c>
      <c r="E79" s="46">
        <f>SUBTOTAL(103,May[4])</f>
        <v>0</v>
      </c>
      <c r="F79" s="46">
        <f>SUBTOTAL(103,May[5])</f>
        <v>0</v>
      </c>
      <c r="G79" s="46">
        <f>SUBTOTAL(103,May[6])</f>
        <v>0</v>
      </c>
      <c r="H79" s="46">
        <f>SUBTOTAL(103,May[7])</f>
        <v>0</v>
      </c>
      <c r="I79" s="46">
        <f>SUBTOTAL(103,May[8])</f>
        <v>0</v>
      </c>
      <c r="J79" s="46">
        <f>SUBTOTAL(103,May[9])</f>
        <v>0</v>
      </c>
      <c r="K79" s="46">
        <f>SUBTOTAL(103,May[10])</f>
        <v>0</v>
      </c>
      <c r="L79" s="46">
        <f>SUBTOTAL(103,May[11])</f>
        <v>0</v>
      </c>
      <c r="M79" s="46">
        <f>SUBTOTAL(103,May[12])</f>
        <v>0</v>
      </c>
      <c r="N79" s="46">
        <f>SUBTOTAL(103,May[13])</f>
        <v>0</v>
      </c>
      <c r="O79" s="46">
        <f>SUBTOTAL(103,May[14])</f>
        <v>0</v>
      </c>
      <c r="P79" s="46">
        <f>SUBTOTAL(103,May[15])</f>
        <v>0</v>
      </c>
      <c r="Q79" s="46">
        <f>SUBTOTAL(103,May[16])</f>
        <v>0</v>
      </c>
      <c r="R79" s="46">
        <f>SUBTOTAL(103,May[17])</f>
        <v>0</v>
      </c>
      <c r="S79" s="46">
        <f>SUBTOTAL(103,May[18])</f>
        <v>0</v>
      </c>
      <c r="T79" s="46">
        <f>SUBTOTAL(103,May[19])</f>
        <v>0</v>
      </c>
      <c r="U79" s="46">
        <f>SUBTOTAL(103,May[20])</f>
        <v>0</v>
      </c>
      <c r="V79" s="46">
        <f>SUBTOTAL(103,May[21])</f>
        <v>0</v>
      </c>
      <c r="W79" s="46">
        <f>SUBTOTAL(103,May[22])</f>
        <v>0</v>
      </c>
      <c r="X79" s="46">
        <f>SUBTOTAL(103,May[23])</f>
        <v>0</v>
      </c>
      <c r="Y79" s="46">
        <f>SUBTOTAL(103,May[24])</f>
        <v>0</v>
      </c>
      <c r="Z79" s="46">
        <f>SUBTOTAL(103,May[25])</f>
        <v>0</v>
      </c>
      <c r="AA79" s="46">
        <f>SUBTOTAL(103,May[26])</f>
        <v>0</v>
      </c>
      <c r="AB79" s="46">
        <f>SUBTOTAL(103,May[27])</f>
        <v>0</v>
      </c>
      <c r="AC79" s="46">
        <f>SUBTOTAL(103,May[28])</f>
        <v>0</v>
      </c>
      <c r="AD79" s="46">
        <f>SUBTOTAL(103,May[29])</f>
        <v>0</v>
      </c>
      <c r="AE79" s="46">
        <f>SUBTOTAL(103,May[30])</f>
        <v>0</v>
      </c>
      <c r="AF79" s="46">
        <f>SUBTOTAL(103,May[31])</f>
        <v>0</v>
      </c>
      <c r="AG79" s="47">
        <f>SUBTOTAL(109,May[Total Days Traveled])</f>
        <v>0</v>
      </c>
    </row>
    <row r="80" spans="1:34" customFormat="1" ht="14.5" x14ac:dyDescent="0.35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</row>
    <row r="81" spans="1:34" customFormat="1" ht="16" thickBot="1" x14ac:dyDescent="0.4">
      <c r="A81" s="80"/>
      <c r="B81" s="39" t="s">
        <v>31</v>
      </c>
      <c r="C81" s="40"/>
      <c r="D81" s="41"/>
      <c r="E81" s="32"/>
      <c r="F81" s="32"/>
      <c r="G81" s="17" t="s">
        <v>52</v>
      </c>
      <c r="H81" s="73" t="s">
        <v>39</v>
      </c>
      <c r="I81" s="37"/>
      <c r="J81" s="37"/>
      <c r="K81" s="13" t="s">
        <v>51</v>
      </c>
      <c r="L81" s="73" t="s">
        <v>40</v>
      </c>
      <c r="M81" s="37"/>
      <c r="N81" s="37"/>
      <c r="O81" s="14" t="s">
        <v>42</v>
      </c>
      <c r="P81" s="73" t="s">
        <v>41</v>
      </c>
      <c r="Q81" s="37"/>
      <c r="R81" s="37"/>
      <c r="S81" s="15" t="s">
        <v>44</v>
      </c>
      <c r="T81" s="73" t="s">
        <v>43</v>
      </c>
      <c r="U81" s="36"/>
      <c r="V81" s="37"/>
      <c r="W81" s="16" t="s">
        <v>45</v>
      </c>
      <c r="X81" s="24" t="s">
        <v>46</v>
      </c>
      <c r="Y81" s="25"/>
      <c r="Z81" s="26"/>
      <c r="AA81" s="74"/>
      <c r="AB81" s="74"/>
      <c r="AC81" s="74"/>
      <c r="AD81" s="74"/>
      <c r="AE81" s="74"/>
      <c r="AF81" s="10"/>
      <c r="AG81" s="9"/>
    </row>
    <row r="82" spans="1:34" customFormat="1" ht="15" customHeight="1" x14ac:dyDescent="0.35">
      <c r="A82" s="81"/>
    </row>
    <row r="83" spans="1:34" customFormat="1" ht="15" customHeight="1" x14ac:dyDescent="0.35">
      <c r="A83" s="81"/>
    </row>
    <row r="84" spans="1:34" customFormat="1" ht="15" customHeight="1" x14ac:dyDescent="0.35">
      <c r="A84" s="81"/>
    </row>
    <row r="85" spans="1:34" customFormat="1" ht="15" customHeight="1" x14ac:dyDescent="0.35">
      <c r="A85" s="81"/>
    </row>
    <row r="86" spans="1:34" customFormat="1" ht="15" customHeight="1" x14ac:dyDescent="0.35">
      <c r="A86" s="81"/>
    </row>
    <row r="87" spans="1:34" customFormat="1" ht="15" customHeight="1" x14ac:dyDescent="0.35">
      <c r="A87" s="81"/>
    </row>
    <row r="88" spans="1:34" s="4" customFormat="1" ht="30" customHeight="1" x14ac:dyDescent="0.35">
      <c r="A88" s="87" t="s">
        <v>67</v>
      </c>
      <c r="B88" s="89" t="s">
        <v>38</v>
      </c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>
        <v>2025</v>
      </c>
      <c r="AH88" s="3"/>
    </row>
    <row r="89" spans="1:34" s="6" customFormat="1" ht="15.75" customHeight="1" x14ac:dyDescent="0.3">
      <c r="A89" s="88"/>
      <c r="B89" s="29" t="str">
        <f>TEXT(WEEKDAY(DATE(CalendarYear,1,1),1),"aaa")</f>
        <v>Wed</v>
      </c>
      <c r="C89" s="30" t="str">
        <f>TEXT(WEEKDAY(DATE(CalendarYear,1,2),1),"aaa")</f>
        <v>Thu</v>
      </c>
      <c r="D89" s="30" t="str">
        <f>TEXT(WEEKDAY(DATE(CalendarYear,1,3),1),"aaa")</f>
        <v>Fri</v>
      </c>
      <c r="E89" s="30" t="str">
        <f>TEXT(WEEKDAY(DATE(CalendarYear,1,4),1),"aaa")</f>
        <v>Sat</v>
      </c>
      <c r="F89" s="30" t="str">
        <f>TEXT(WEEKDAY(DATE(CalendarYear,1,5),1),"aaa")</f>
        <v>Sun</v>
      </c>
      <c r="G89" s="30" t="str">
        <f>TEXT(WEEKDAY(DATE(CalendarYear,1,6),1),"aaa")</f>
        <v>Mon</v>
      </c>
      <c r="H89" s="30" t="str">
        <f>TEXT(WEEKDAY(DATE(CalendarYear,1,7),1),"aaa")</f>
        <v>Tue</v>
      </c>
      <c r="I89" s="30" t="str">
        <f>TEXT(WEEKDAY(DATE(CalendarYear,1,8),1),"aaa")</f>
        <v>Wed</v>
      </c>
      <c r="J89" s="30" t="str">
        <f>TEXT(WEEKDAY(DATE(CalendarYear,1,9),1),"aaa")</f>
        <v>Thu</v>
      </c>
      <c r="K89" s="30" t="str">
        <f>TEXT(WEEKDAY(DATE(CalendarYear,1,10),1),"aaa")</f>
        <v>Fri</v>
      </c>
      <c r="L89" s="30" t="str">
        <f>TEXT(WEEKDAY(DATE(CalendarYear,1,11),1),"aaa")</f>
        <v>Sat</v>
      </c>
      <c r="M89" s="30" t="str">
        <f>TEXT(WEEKDAY(DATE(CalendarYear,1,12),1),"aaa")</f>
        <v>Sun</v>
      </c>
      <c r="N89" s="30" t="str">
        <f>TEXT(WEEKDAY(DATE(CalendarYear,1,13),1),"aaa")</f>
        <v>Mon</v>
      </c>
      <c r="O89" s="30" t="str">
        <f>TEXT(WEEKDAY(DATE(CalendarYear,1,14),1),"aaa")</f>
        <v>Tue</v>
      </c>
      <c r="P89" s="30" t="str">
        <f>TEXT(WEEKDAY(DATE(CalendarYear,1,15),1),"aaa")</f>
        <v>Wed</v>
      </c>
      <c r="Q89" s="30" t="str">
        <f>TEXT(WEEKDAY(DATE(CalendarYear,1,16),1),"aaa")</f>
        <v>Thu</v>
      </c>
      <c r="R89" s="30" t="str">
        <f>TEXT(WEEKDAY(DATE(CalendarYear,1,17),1),"aaa")</f>
        <v>Fri</v>
      </c>
      <c r="S89" s="30" t="str">
        <f>TEXT(WEEKDAY(DATE(CalendarYear,1,18),1),"aaa")</f>
        <v>Sat</v>
      </c>
      <c r="T89" s="30" t="str">
        <f>TEXT(WEEKDAY(DATE(CalendarYear,1,19),1),"aaa")</f>
        <v>Sun</v>
      </c>
      <c r="U89" s="30" t="str">
        <f>TEXT(WEEKDAY(DATE(CalendarYear,1,20),1),"aaa")</f>
        <v>Mon</v>
      </c>
      <c r="V89" s="30" t="str">
        <f>TEXT(WEEKDAY(DATE(CalendarYear,1,21),1),"aaa")</f>
        <v>Tue</v>
      </c>
      <c r="W89" s="30" t="str">
        <f>TEXT(WEEKDAY(DATE(CalendarYear,1,22),1),"aaa")</f>
        <v>Wed</v>
      </c>
      <c r="X89" s="30" t="str">
        <f>TEXT(WEEKDAY(DATE(CalendarYear,1,23),1),"aaa")</f>
        <v>Thu</v>
      </c>
      <c r="Y89" s="30" t="str">
        <f>TEXT(WEEKDAY(DATE(CalendarYear,1,24),1),"aaa")</f>
        <v>Fri</v>
      </c>
      <c r="Z89" s="30" t="str">
        <f>TEXT(WEEKDAY(DATE(CalendarYear,1,25),1),"aaa")</f>
        <v>Sat</v>
      </c>
      <c r="AA89" s="30" t="str">
        <f>TEXT(WEEKDAY(DATE(CalendarYear,1,26),1),"aaa")</f>
        <v>Sun</v>
      </c>
      <c r="AB89" s="30" t="str">
        <f>TEXT(WEEKDAY(DATE(CalendarYear,1,27),1),"aaa")</f>
        <v>Mon</v>
      </c>
      <c r="AC89" s="30" t="str">
        <f>TEXT(WEEKDAY(DATE(CalendarYear,1,28),1),"aaa")</f>
        <v>Tue</v>
      </c>
      <c r="AD89" s="30" t="str">
        <f>TEXT(WEEKDAY(DATE(CalendarYear,1,29),1),"aaa")</f>
        <v>Wed</v>
      </c>
      <c r="AE89" s="30" t="str">
        <f>TEXT(WEEKDAY(DATE(CalendarYear,1,30),1),"aaa")</f>
        <v>Thu</v>
      </c>
      <c r="AF89" s="31" t="str">
        <f>TEXT(WEEKDAY(DATE(CalendarYear,1,31),1),"aaa")</f>
        <v>Fri</v>
      </c>
      <c r="AG89" s="90"/>
      <c r="AH89" s="5"/>
    </row>
    <row r="90" spans="1:34" s="8" customFormat="1" ht="18.5" x14ac:dyDescent="0.35">
      <c r="A90" s="75" t="s">
        <v>53</v>
      </c>
      <c r="B90" s="27" t="s">
        <v>0</v>
      </c>
      <c r="C90" s="27" t="s">
        <v>1</v>
      </c>
      <c r="D90" s="27" t="s">
        <v>2</v>
      </c>
      <c r="E90" s="27" t="s">
        <v>3</v>
      </c>
      <c r="F90" s="27" t="s">
        <v>4</v>
      </c>
      <c r="G90" s="27" t="s">
        <v>5</v>
      </c>
      <c r="H90" s="27" t="s">
        <v>6</v>
      </c>
      <c r="I90" s="27" t="s">
        <v>7</v>
      </c>
      <c r="J90" s="27" t="s">
        <v>8</v>
      </c>
      <c r="K90" s="27" t="s">
        <v>9</v>
      </c>
      <c r="L90" s="27" t="s">
        <v>10</v>
      </c>
      <c r="M90" s="27" t="s">
        <v>11</v>
      </c>
      <c r="N90" s="27" t="s">
        <v>12</v>
      </c>
      <c r="O90" s="27" t="s">
        <v>13</v>
      </c>
      <c r="P90" s="27" t="s">
        <v>14</v>
      </c>
      <c r="Q90" s="27" t="s">
        <v>15</v>
      </c>
      <c r="R90" s="27" t="s">
        <v>16</v>
      </c>
      <c r="S90" s="27" t="s">
        <v>17</v>
      </c>
      <c r="T90" s="27" t="s">
        <v>18</v>
      </c>
      <c r="U90" s="27" t="s">
        <v>19</v>
      </c>
      <c r="V90" s="27" t="s">
        <v>20</v>
      </c>
      <c r="W90" s="27" t="s">
        <v>21</v>
      </c>
      <c r="X90" s="27" t="s">
        <v>22</v>
      </c>
      <c r="Y90" s="27" t="s">
        <v>23</v>
      </c>
      <c r="Z90" s="27" t="s">
        <v>24</v>
      </c>
      <c r="AA90" s="27" t="s">
        <v>25</v>
      </c>
      <c r="AB90" s="27" t="s">
        <v>26</v>
      </c>
      <c r="AC90" s="27" t="s">
        <v>27</v>
      </c>
      <c r="AD90" s="27" t="s">
        <v>28</v>
      </c>
      <c r="AE90" s="27" t="s">
        <v>29</v>
      </c>
      <c r="AF90" s="27" t="s">
        <v>30</v>
      </c>
      <c r="AG90" s="38" t="s">
        <v>47</v>
      </c>
      <c r="AH90" s="7"/>
    </row>
    <row r="91" spans="1:34" s="1" customFormat="1" ht="15.5" x14ac:dyDescent="0.35">
      <c r="A91" s="76" t="s">
        <v>55</v>
      </c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34">
        <f>COUNTA(Jun[[#This Row],[1]:[31]])</f>
        <v>0</v>
      </c>
      <c r="AH91" s="2"/>
    </row>
    <row r="92" spans="1:34" s="1" customFormat="1" ht="15.5" x14ac:dyDescent="0.35">
      <c r="A92" s="76" t="s">
        <v>56</v>
      </c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34">
        <f>COUNTA(Jun[[#This Row],[1]:[31]])</f>
        <v>0</v>
      </c>
      <c r="AH92" s="2"/>
    </row>
    <row r="93" spans="1:34" s="1" customFormat="1" ht="15.5" x14ac:dyDescent="0.35">
      <c r="A93" s="77" t="s">
        <v>49</v>
      </c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47">
        <f>COUNTA(Jun[[#This Row],[1]:[31]])</f>
        <v>0</v>
      </c>
      <c r="AH93" s="2"/>
    </row>
    <row r="94" spans="1:34" s="1" customFormat="1" ht="15.5" x14ac:dyDescent="0.35">
      <c r="A94" s="77" t="s">
        <v>57</v>
      </c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47">
        <f>COUNTA(Jun[[#This Row],[1]:[31]])</f>
        <v>0</v>
      </c>
      <c r="AH94" s="2"/>
    </row>
    <row r="95" spans="1:34" s="1" customFormat="1" ht="15.5" x14ac:dyDescent="0.35">
      <c r="A95" s="76" t="s">
        <v>58</v>
      </c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34">
        <f>COUNTA(Jun[[#This Row],[1]:[31]])</f>
        <v>0</v>
      </c>
      <c r="AH95" s="2"/>
    </row>
    <row r="96" spans="1:34" ht="14.5" x14ac:dyDescent="0.25">
      <c r="A96" s="79" t="str">
        <f>A88 &amp; " Total"</f>
        <v>June Summary Total</v>
      </c>
      <c r="B96" s="46">
        <f>SUBTOTAL(103,Jun[1])</f>
        <v>0</v>
      </c>
      <c r="C96" s="46">
        <f>SUBTOTAL(103,Jun[2])</f>
        <v>0</v>
      </c>
      <c r="D96" s="46">
        <f>SUBTOTAL(103,Jun[3])</f>
        <v>0</v>
      </c>
      <c r="E96" s="46">
        <f>SUBTOTAL(103,Jun[4])</f>
        <v>0</v>
      </c>
      <c r="F96" s="46">
        <f>SUBTOTAL(103,Jun[5])</f>
        <v>0</v>
      </c>
      <c r="G96" s="46">
        <f>SUBTOTAL(103,Jun[6])</f>
        <v>0</v>
      </c>
      <c r="H96" s="46">
        <f>SUBTOTAL(103,Jun[7])</f>
        <v>0</v>
      </c>
      <c r="I96" s="46">
        <f>SUBTOTAL(103,Jun[8])</f>
        <v>0</v>
      </c>
      <c r="J96" s="46">
        <f>SUBTOTAL(103,Jun[9])</f>
        <v>0</v>
      </c>
      <c r="K96" s="46">
        <f>SUBTOTAL(103,Jun[10])</f>
        <v>0</v>
      </c>
      <c r="L96" s="46">
        <f>SUBTOTAL(103,Jun[11])</f>
        <v>0</v>
      </c>
      <c r="M96" s="46">
        <f>SUBTOTAL(103,Jun[12])</f>
        <v>0</v>
      </c>
      <c r="N96" s="46">
        <f>SUBTOTAL(103,Jun[13])</f>
        <v>0</v>
      </c>
      <c r="O96" s="46">
        <f>SUBTOTAL(103,Jun[14])</f>
        <v>0</v>
      </c>
      <c r="P96" s="46">
        <f>SUBTOTAL(103,Jun[15])</f>
        <v>0</v>
      </c>
      <c r="Q96" s="46">
        <f>SUBTOTAL(103,Jun[16])</f>
        <v>0</v>
      </c>
      <c r="R96" s="46">
        <f>SUBTOTAL(103,Jun[17])</f>
        <v>0</v>
      </c>
      <c r="S96" s="46">
        <f>SUBTOTAL(103,Jun[18])</f>
        <v>0</v>
      </c>
      <c r="T96" s="46">
        <f>SUBTOTAL(103,Jun[19])</f>
        <v>0</v>
      </c>
      <c r="U96" s="46">
        <f>SUBTOTAL(103,Jun[20])</f>
        <v>0</v>
      </c>
      <c r="V96" s="46">
        <f>SUBTOTAL(103,Jun[21])</f>
        <v>0</v>
      </c>
      <c r="W96" s="46">
        <f>SUBTOTAL(103,Jun[22])</f>
        <v>0</v>
      </c>
      <c r="X96" s="46">
        <f>SUBTOTAL(103,Jun[23])</f>
        <v>0</v>
      </c>
      <c r="Y96" s="46">
        <f>SUBTOTAL(103,Jun[24])</f>
        <v>0</v>
      </c>
      <c r="Z96" s="46">
        <f>SUBTOTAL(103,Jun[25])</f>
        <v>0</v>
      </c>
      <c r="AA96" s="46">
        <f>SUBTOTAL(103,Jun[26])</f>
        <v>0</v>
      </c>
      <c r="AB96" s="46">
        <f>SUBTOTAL(103,Jun[27])</f>
        <v>0</v>
      </c>
      <c r="AC96" s="46">
        <f>SUBTOTAL(103,Jun[28])</f>
        <v>0</v>
      </c>
      <c r="AD96" s="46">
        <f>SUBTOTAL(103,Jun[29])</f>
        <v>0</v>
      </c>
      <c r="AE96" s="46">
        <f>SUBTOTAL(103,Jun[30])</f>
        <v>0</v>
      </c>
      <c r="AF96" s="46">
        <f>SUBTOTAL(103,Jun[31])</f>
        <v>0</v>
      </c>
      <c r="AG96" s="47">
        <f>SUBTOTAL(109,Jun[Total Days Traveled])</f>
        <v>0</v>
      </c>
    </row>
    <row r="97" spans="1:34" customFormat="1" ht="14.5" x14ac:dyDescent="0.35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</row>
    <row r="98" spans="1:34" customFormat="1" ht="16" thickBot="1" x14ac:dyDescent="0.4">
      <c r="A98" s="80"/>
      <c r="B98" s="39" t="s">
        <v>31</v>
      </c>
      <c r="C98" s="40"/>
      <c r="D98" s="41"/>
      <c r="E98" s="32"/>
      <c r="F98" s="32"/>
      <c r="G98" s="17" t="s">
        <v>52</v>
      </c>
      <c r="H98" s="73" t="s">
        <v>39</v>
      </c>
      <c r="I98" s="37"/>
      <c r="J98" s="37"/>
      <c r="K98" s="13" t="s">
        <v>51</v>
      </c>
      <c r="L98" s="73" t="s">
        <v>40</v>
      </c>
      <c r="M98" s="37"/>
      <c r="N98" s="37"/>
      <c r="O98" s="14" t="s">
        <v>42</v>
      </c>
      <c r="P98" s="73" t="s">
        <v>41</v>
      </c>
      <c r="Q98" s="37"/>
      <c r="R98" s="37"/>
      <c r="S98" s="15" t="s">
        <v>44</v>
      </c>
      <c r="T98" s="73" t="s">
        <v>43</v>
      </c>
      <c r="U98" s="36"/>
      <c r="V98" s="37"/>
      <c r="W98" s="16" t="s">
        <v>45</v>
      </c>
      <c r="X98" s="24" t="s">
        <v>46</v>
      </c>
      <c r="Y98" s="25"/>
      <c r="Z98" s="26"/>
      <c r="AA98" s="74"/>
      <c r="AB98" s="74"/>
      <c r="AC98" s="74"/>
      <c r="AD98" s="74"/>
      <c r="AE98" s="74"/>
      <c r="AF98" s="10"/>
      <c r="AG98" s="9"/>
    </row>
    <row r="99" spans="1:34" customFormat="1" ht="15" customHeight="1" x14ac:dyDescent="0.35">
      <c r="A99" s="81"/>
    </row>
    <row r="100" spans="1:34" customFormat="1" ht="15" customHeight="1" x14ac:dyDescent="0.35">
      <c r="A100" s="81"/>
    </row>
    <row r="101" spans="1:34" customFormat="1" ht="15" customHeight="1" x14ac:dyDescent="0.35">
      <c r="A101" s="81"/>
    </row>
    <row r="102" spans="1:34" customFormat="1" ht="15" customHeight="1" x14ac:dyDescent="0.35">
      <c r="A102" s="81"/>
    </row>
    <row r="103" spans="1:34" customFormat="1" ht="15" customHeight="1" x14ac:dyDescent="0.35">
      <c r="A103" s="81"/>
    </row>
    <row r="104" spans="1:34" customFormat="1" ht="15" customHeight="1" x14ac:dyDescent="0.35">
      <c r="A104" s="81"/>
    </row>
    <row r="105" spans="1:34" s="4" customFormat="1" ht="30" customHeight="1" x14ac:dyDescent="0.35">
      <c r="A105" s="87" t="s">
        <v>68</v>
      </c>
      <c r="B105" s="89" t="s">
        <v>38</v>
      </c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>
        <v>2025</v>
      </c>
      <c r="AH105" s="3"/>
    </row>
    <row r="106" spans="1:34" s="6" customFormat="1" ht="15.75" customHeight="1" x14ac:dyDescent="0.3">
      <c r="A106" s="88"/>
      <c r="B106" s="29" t="str">
        <f>TEXT(WEEKDAY(DATE(CalendarYear,1,1),1),"aaa")</f>
        <v>Wed</v>
      </c>
      <c r="C106" s="30" t="str">
        <f>TEXT(WEEKDAY(DATE(CalendarYear,1,2),1),"aaa")</f>
        <v>Thu</v>
      </c>
      <c r="D106" s="30" t="str">
        <f>TEXT(WEEKDAY(DATE(CalendarYear,1,3),1),"aaa")</f>
        <v>Fri</v>
      </c>
      <c r="E106" s="30" t="str">
        <f>TEXT(WEEKDAY(DATE(CalendarYear,1,4),1),"aaa")</f>
        <v>Sat</v>
      </c>
      <c r="F106" s="30" t="str">
        <f>TEXT(WEEKDAY(DATE(CalendarYear,1,5),1),"aaa")</f>
        <v>Sun</v>
      </c>
      <c r="G106" s="30" t="str">
        <f>TEXT(WEEKDAY(DATE(CalendarYear,1,6),1),"aaa")</f>
        <v>Mon</v>
      </c>
      <c r="H106" s="30" t="str">
        <f>TEXT(WEEKDAY(DATE(CalendarYear,1,7),1),"aaa")</f>
        <v>Tue</v>
      </c>
      <c r="I106" s="30" t="str">
        <f>TEXT(WEEKDAY(DATE(CalendarYear,1,8),1),"aaa")</f>
        <v>Wed</v>
      </c>
      <c r="J106" s="30" t="str">
        <f>TEXT(WEEKDAY(DATE(CalendarYear,1,9),1),"aaa")</f>
        <v>Thu</v>
      </c>
      <c r="K106" s="30" t="str">
        <f>TEXT(WEEKDAY(DATE(CalendarYear,1,10),1),"aaa")</f>
        <v>Fri</v>
      </c>
      <c r="L106" s="30" t="str">
        <f>TEXT(WEEKDAY(DATE(CalendarYear,1,11),1),"aaa")</f>
        <v>Sat</v>
      </c>
      <c r="M106" s="30" t="str">
        <f>TEXT(WEEKDAY(DATE(CalendarYear,1,12),1),"aaa")</f>
        <v>Sun</v>
      </c>
      <c r="N106" s="30" t="str">
        <f>TEXT(WEEKDAY(DATE(CalendarYear,1,13),1),"aaa")</f>
        <v>Mon</v>
      </c>
      <c r="O106" s="30" t="str">
        <f>TEXT(WEEKDAY(DATE(CalendarYear,1,14),1),"aaa")</f>
        <v>Tue</v>
      </c>
      <c r="P106" s="30" t="str">
        <f>TEXT(WEEKDAY(DATE(CalendarYear,1,15),1),"aaa")</f>
        <v>Wed</v>
      </c>
      <c r="Q106" s="30" t="str">
        <f>TEXT(WEEKDAY(DATE(CalendarYear,1,16),1),"aaa")</f>
        <v>Thu</v>
      </c>
      <c r="R106" s="30" t="str">
        <f>TEXT(WEEKDAY(DATE(CalendarYear,1,17),1),"aaa")</f>
        <v>Fri</v>
      </c>
      <c r="S106" s="30" t="str">
        <f>TEXT(WEEKDAY(DATE(CalendarYear,1,18),1),"aaa")</f>
        <v>Sat</v>
      </c>
      <c r="T106" s="30" t="str">
        <f>TEXT(WEEKDAY(DATE(CalendarYear,1,19),1),"aaa")</f>
        <v>Sun</v>
      </c>
      <c r="U106" s="30" t="str">
        <f>TEXT(WEEKDAY(DATE(CalendarYear,1,20),1),"aaa")</f>
        <v>Mon</v>
      </c>
      <c r="V106" s="30" t="str">
        <f>TEXT(WEEKDAY(DATE(CalendarYear,1,21),1),"aaa")</f>
        <v>Tue</v>
      </c>
      <c r="W106" s="30" t="str">
        <f>TEXT(WEEKDAY(DATE(CalendarYear,1,22),1),"aaa")</f>
        <v>Wed</v>
      </c>
      <c r="X106" s="30" t="str">
        <f>TEXT(WEEKDAY(DATE(CalendarYear,1,23),1),"aaa")</f>
        <v>Thu</v>
      </c>
      <c r="Y106" s="30" t="str">
        <f>TEXT(WEEKDAY(DATE(CalendarYear,1,24),1),"aaa")</f>
        <v>Fri</v>
      </c>
      <c r="Z106" s="30" t="str">
        <f>TEXT(WEEKDAY(DATE(CalendarYear,1,25),1),"aaa")</f>
        <v>Sat</v>
      </c>
      <c r="AA106" s="30" t="str">
        <f>TEXT(WEEKDAY(DATE(CalendarYear,1,26),1),"aaa")</f>
        <v>Sun</v>
      </c>
      <c r="AB106" s="30" t="str">
        <f>TEXT(WEEKDAY(DATE(CalendarYear,1,27),1),"aaa")</f>
        <v>Mon</v>
      </c>
      <c r="AC106" s="30" t="str">
        <f>TEXT(WEEKDAY(DATE(CalendarYear,1,28),1),"aaa")</f>
        <v>Tue</v>
      </c>
      <c r="AD106" s="30" t="str">
        <f>TEXT(WEEKDAY(DATE(CalendarYear,1,29),1),"aaa")</f>
        <v>Wed</v>
      </c>
      <c r="AE106" s="30" t="str">
        <f>TEXT(WEEKDAY(DATE(CalendarYear,1,30),1),"aaa")</f>
        <v>Thu</v>
      </c>
      <c r="AF106" s="31" t="str">
        <f>TEXT(WEEKDAY(DATE(CalendarYear,1,31),1),"aaa")</f>
        <v>Fri</v>
      </c>
      <c r="AG106" s="90"/>
      <c r="AH106" s="5"/>
    </row>
    <row r="107" spans="1:34" s="8" customFormat="1" ht="18.5" x14ac:dyDescent="0.35">
      <c r="A107" s="75" t="s">
        <v>53</v>
      </c>
      <c r="B107" s="27" t="s">
        <v>0</v>
      </c>
      <c r="C107" s="27" t="s">
        <v>1</v>
      </c>
      <c r="D107" s="27" t="s">
        <v>2</v>
      </c>
      <c r="E107" s="27" t="s">
        <v>3</v>
      </c>
      <c r="F107" s="27" t="s">
        <v>4</v>
      </c>
      <c r="G107" s="27" t="s">
        <v>5</v>
      </c>
      <c r="H107" s="27" t="s">
        <v>6</v>
      </c>
      <c r="I107" s="27" t="s">
        <v>7</v>
      </c>
      <c r="J107" s="27" t="s">
        <v>8</v>
      </c>
      <c r="K107" s="27" t="s">
        <v>9</v>
      </c>
      <c r="L107" s="27" t="s">
        <v>10</v>
      </c>
      <c r="M107" s="27" t="s">
        <v>11</v>
      </c>
      <c r="N107" s="27" t="s">
        <v>12</v>
      </c>
      <c r="O107" s="27" t="s">
        <v>13</v>
      </c>
      <c r="P107" s="27" t="s">
        <v>14</v>
      </c>
      <c r="Q107" s="27" t="s">
        <v>15</v>
      </c>
      <c r="R107" s="27" t="s">
        <v>16</v>
      </c>
      <c r="S107" s="27" t="s">
        <v>17</v>
      </c>
      <c r="T107" s="27" t="s">
        <v>18</v>
      </c>
      <c r="U107" s="27" t="s">
        <v>19</v>
      </c>
      <c r="V107" s="27" t="s">
        <v>20</v>
      </c>
      <c r="W107" s="27" t="s">
        <v>21</v>
      </c>
      <c r="X107" s="27" t="s">
        <v>22</v>
      </c>
      <c r="Y107" s="27" t="s">
        <v>23</v>
      </c>
      <c r="Z107" s="27" t="s">
        <v>24</v>
      </c>
      <c r="AA107" s="27" t="s">
        <v>25</v>
      </c>
      <c r="AB107" s="27" t="s">
        <v>26</v>
      </c>
      <c r="AC107" s="27" t="s">
        <v>27</v>
      </c>
      <c r="AD107" s="27" t="s">
        <v>28</v>
      </c>
      <c r="AE107" s="27" t="s">
        <v>29</v>
      </c>
      <c r="AF107" s="27" t="s">
        <v>30</v>
      </c>
      <c r="AG107" s="38" t="s">
        <v>47</v>
      </c>
      <c r="AH107" s="7"/>
    </row>
    <row r="108" spans="1:34" s="1" customFormat="1" ht="15.5" x14ac:dyDescent="0.35">
      <c r="A108" s="76" t="s">
        <v>55</v>
      </c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34">
        <f>COUNTA(July[[#This Row],[1]:[31]])</f>
        <v>0</v>
      </c>
      <c r="AH108" s="2"/>
    </row>
    <row r="109" spans="1:34" s="1" customFormat="1" ht="15.5" x14ac:dyDescent="0.35">
      <c r="A109" s="76" t="s">
        <v>56</v>
      </c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34">
        <f>COUNTA(July[[#This Row],[1]:[31]])</f>
        <v>0</v>
      </c>
      <c r="AH109" s="2"/>
    </row>
    <row r="110" spans="1:34" s="1" customFormat="1" ht="15.5" x14ac:dyDescent="0.35">
      <c r="A110" s="77" t="s">
        <v>49</v>
      </c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47">
        <f>COUNTA(July[[#This Row],[1]:[31]])</f>
        <v>0</v>
      </c>
      <c r="AH110" s="2"/>
    </row>
    <row r="111" spans="1:34" s="1" customFormat="1" ht="15.5" x14ac:dyDescent="0.35">
      <c r="A111" s="77" t="s">
        <v>57</v>
      </c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47">
        <f>COUNTA(July[[#This Row],[1]:[31]])</f>
        <v>0</v>
      </c>
      <c r="AH111" s="2"/>
    </row>
    <row r="112" spans="1:34" s="1" customFormat="1" ht="15.5" x14ac:dyDescent="0.35">
      <c r="A112" s="76" t="s">
        <v>58</v>
      </c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34">
        <f>COUNTA(July[[#This Row],[1]:[31]])</f>
        <v>0</v>
      </c>
      <c r="AH112" s="2"/>
    </row>
    <row r="113" spans="1:34" ht="14.5" x14ac:dyDescent="0.25">
      <c r="A113" s="79" t="str">
        <f>A105 &amp; " Total"</f>
        <v>July Summary Total</v>
      </c>
      <c r="B113" s="46">
        <f>SUBTOTAL(103,July[1])</f>
        <v>0</v>
      </c>
      <c r="C113" s="46">
        <f>SUBTOTAL(103,July[2])</f>
        <v>0</v>
      </c>
      <c r="D113" s="46">
        <f>SUBTOTAL(103,July[3])</f>
        <v>0</v>
      </c>
      <c r="E113" s="46">
        <f>SUBTOTAL(103,July[4])</f>
        <v>0</v>
      </c>
      <c r="F113" s="46">
        <f>SUBTOTAL(103,July[5])</f>
        <v>0</v>
      </c>
      <c r="G113" s="46">
        <f>SUBTOTAL(103,July[6])</f>
        <v>0</v>
      </c>
      <c r="H113" s="46">
        <f>SUBTOTAL(103,July[7])</f>
        <v>0</v>
      </c>
      <c r="I113" s="46">
        <f>SUBTOTAL(103,July[8])</f>
        <v>0</v>
      </c>
      <c r="J113" s="46">
        <f>SUBTOTAL(103,July[9])</f>
        <v>0</v>
      </c>
      <c r="K113" s="46">
        <f>SUBTOTAL(103,July[10])</f>
        <v>0</v>
      </c>
      <c r="L113" s="46">
        <f>SUBTOTAL(103,July[11])</f>
        <v>0</v>
      </c>
      <c r="M113" s="46">
        <f>SUBTOTAL(103,July[12])</f>
        <v>0</v>
      </c>
      <c r="N113" s="46">
        <f>SUBTOTAL(103,July[13])</f>
        <v>0</v>
      </c>
      <c r="O113" s="46">
        <f>SUBTOTAL(103,July[14])</f>
        <v>0</v>
      </c>
      <c r="P113" s="46">
        <f>SUBTOTAL(103,July[15])</f>
        <v>0</v>
      </c>
      <c r="Q113" s="46">
        <f>SUBTOTAL(103,July[16])</f>
        <v>0</v>
      </c>
      <c r="R113" s="46">
        <f>SUBTOTAL(103,July[17])</f>
        <v>0</v>
      </c>
      <c r="S113" s="46">
        <f>SUBTOTAL(103,July[18])</f>
        <v>0</v>
      </c>
      <c r="T113" s="46">
        <f>SUBTOTAL(103,July[19])</f>
        <v>0</v>
      </c>
      <c r="U113" s="46">
        <f>SUBTOTAL(103,July[20])</f>
        <v>0</v>
      </c>
      <c r="V113" s="46">
        <f>SUBTOTAL(103,July[21])</f>
        <v>0</v>
      </c>
      <c r="W113" s="46">
        <f>SUBTOTAL(103,July[22])</f>
        <v>0</v>
      </c>
      <c r="X113" s="46">
        <f>SUBTOTAL(103,July[23])</f>
        <v>0</v>
      </c>
      <c r="Y113" s="46">
        <f>SUBTOTAL(103,July[24])</f>
        <v>0</v>
      </c>
      <c r="Z113" s="46">
        <f>SUBTOTAL(103,July[25])</f>
        <v>0</v>
      </c>
      <c r="AA113" s="46">
        <f>SUBTOTAL(103,July[26])</f>
        <v>0</v>
      </c>
      <c r="AB113" s="46">
        <f>SUBTOTAL(103,July[27])</f>
        <v>0</v>
      </c>
      <c r="AC113" s="46">
        <f>SUBTOTAL(103,July[28])</f>
        <v>0</v>
      </c>
      <c r="AD113" s="46">
        <f>SUBTOTAL(103,July[29])</f>
        <v>0</v>
      </c>
      <c r="AE113" s="46">
        <f>SUBTOTAL(103,July[30])</f>
        <v>0</v>
      </c>
      <c r="AF113" s="46">
        <f>SUBTOTAL(103,July[31])</f>
        <v>0</v>
      </c>
      <c r="AG113" s="47">
        <f>SUBTOTAL(109,July[Total Days Traveled])</f>
        <v>0</v>
      </c>
    </row>
    <row r="114" spans="1:34" customFormat="1" ht="14.5" x14ac:dyDescent="0.35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</row>
    <row r="115" spans="1:34" customFormat="1" ht="16" thickBot="1" x14ac:dyDescent="0.4">
      <c r="A115" s="80"/>
      <c r="B115" s="39" t="s">
        <v>31</v>
      </c>
      <c r="C115" s="40"/>
      <c r="D115" s="41"/>
      <c r="E115" s="32"/>
      <c r="F115" s="32"/>
      <c r="G115" s="17" t="s">
        <v>52</v>
      </c>
      <c r="H115" s="73" t="s">
        <v>39</v>
      </c>
      <c r="I115" s="37"/>
      <c r="J115" s="37"/>
      <c r="K115" s="13" t="s">
        <v>51</v>
      </c>
      <c r="L115" s="73" t="s">
        <v>40</v>
      </c>
      <c r="M115" s="37"/>
      <c r="N115" s="37"/>
      <c r="O115" s="14" t="s">
        <v>42</v>
      </c>
      <c r="P115" s="73" t="s">
        <v>41</v>
      </c>
      <c r="Q115" s="37"/>
      <c r="R115" s="37"/>
      <c r="S115" s="15" t="s">
        <v>44</v>
      </c>
      <c r="T115" s="73" t="s">
        <v>43</v>
      </c>
      <c r="U115" s="36"/>
      <c r="V115" s="37"/>
      <c r="W115" s="16" t="s">
        <v>45</v>
      </c>
      <c r="X115" s="24" t="s">
        <v>46</v>
      </c>
      <c r="Y115" s="25"/>
      <c r="Z115" s="26"/>
      <c r="AA115" s="74"/>
      <c r="AB115" s="74"/>
      <c r="AC115" s="74"/>
      <c r="AD115" s="74"/>
      <c r="AE115" s="74"/>
      <c r="AF115" s="10"/>
      <c r="AG115" s="9"/>
    </row>
    <row r="116" spans="1:34" customFormat="1" ht="15" customHeight="1" x14ac:dyDescent="0.35">
      <c r="A116" s="81"/>
    </row>
    <row r="117" spans="1:34" customFormat="1" ht="15" customHeight="1" x14ac:dyDescent="0.35">
      <c r="A117" s="81"/>
    </row>
    <row r="118" spans="1:34" customFormat="1" ht="15" customHeight="1" x14ac:dyDescent="0.35">
      <c r="A118" s="81"/>
    </row>
    <row r="119" spans="1:34" customFormat="1" ht="15" customHeight="1" x14ac:dyDescent="0.35">
      <c r="A119" s="81"/>
    </row>
    <row r="120" spans="1:34" customFormat="1" ht="15" customHeight="1" x14ac:dyDescent="0.35">
      <c r="A120" s="81"/>
    </row>
    <row r="121" spans="1:34" customFormat="1" ht="15" customHeight="1" x14ac:dyDescent="0.35">
      <c r="A121" s="81"/>
    </row>
    <row r="122" spans="1:34" s="4" customFormat="1" ht="30" customHeight="1" x14ac:dyDescent="0.35">
      <c r="A122" s="87" t="s">
        <v>69</v>
      </c>
      <c r="B122" s="89" t="s">
        <v>38</v>
      </c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>
        <v>2025</v>
      </c>
      <c r="AH122" s="3"/>
    </row>
    <row r="123" spans="1:34" s="6" customFormat="1" ht="15.75" customHeight="1" x14ac:dyDescent="0.3">
      <c r="A123" s="88"/>
      <c r="B123" s="29" t="str">
        <f>TEXT(WEEKDAY(DATE(CalendarYear,1,1),1),"aaa")</f>
        <v>Wed</v>
      </c>
      <c r="C123" s="30" t="str">
        <f>TEXT(WEEKDAY(DATE(CalendarYear,1,2),1),"aaa")</f>
        <v>Thu</v>
      </c>
      <c r="D123" s="30" t="str">
        <f>TEXT(WEEKDAY(DATE(CalendarYear,1,3),1),"aaa")</f>
        <v>Fri</v>
      </c>
      <c r="E123" s="30" t="str">
        <f>TEXT(WEEKDAY(DATE(CalendarYear,1,4),1),"aaa")</f>
        <v>Sat</v>
      </c>
      <c r="F123" s="30" t="str">
        <f>TEXT(WEEKDAY(DATE(CalendarYear,1,5),1),"aaa")</f>
        <v>Sun</v>
      </c>
      <c r="G123" s="30" t="str">
        <f>TEXT(WEEKDAY(DATE(CalendarYear,1,6),1),"aaa")</f>
        <v>Mon</v>
      </c>
      <c r="H123" s="30" t="str">
        <f>TEXT(WEEKDAY(DATE(CalendarYear,1,7),1),"aaa")</f>
        <v>Tue</v>
      </c>
      <c r="I123" s="30" t="str">
        <f>TEXT(WEEKDAY(DATE(CalendarYear,1,8),1),"aaa")</f>
        <v>Wed</v>
      </c>
      <c r="J123" s="30" t="str">
        <f>TEXT(WEEKDAY(DATE(CalendarYear,1,9),1),"aaa")</f>
        <v>Thu</v>
      </c>
      <c r="K123" s="30" t="str">
        <f>TEXT(WEEKDAY(DATE(CalendarYear,1,10),1),"aaa")</f>
        <v>Fri</v>
      </c>
      <c r="L123" s="30" t="str">
        <f>TEXT(WEEKDAY(DATE(CalendarYear,1,11),1),"aaa")</f>
        <v>Sat</v>
      </c>
      <c r="M123" s="30" t="str">
        <f>TEXT(WEEKDAY(DATE(CalendarYear,1,12),1),"aaa")</f>
        <v>Sun</v>
      </c>
      <c r="N123" s="30" t="str">
        <f>TEXT(WEEKDAY(DATE(CalendarYear,1,13),1),"aaa")</f>
        <v>Mon</v>
      </c>
      <c r="O123" s="30" t="str">
        <f>TEXT(WEEKDAY(DATE(CalendarYear,1,14),1),"aaa")</f>
        <v>Tue</v>
      </c>
      <c r="P123" s="30" t="str">
        <f>TEXT(WEEKDAY(DATE(CalendarYear,1,15),1),"aaa")</f>
        <v>Wed</v>
      </c>
      <c r="Q123" s="30" t="str">
        <f>TEXT(WEEKDAY(DATE(CalendarYear,1,16),1),"aaa")</f>
        <v>Thu</v>
      </c>
      <c r="R123" s="30" t="str">
        <f>TEXT(WEEKDAY(DATE(CalendarYear,1,17),1),"aaa")</f>
        <v>Fri</v>
      </c>
      <c r="S123" s="30" t="str">
        <f>TEXT(WEEKDAY(DATE(CalendarYear,1,18),1),"aaa")</f>
        <v>Sat</v>
      </c>
      <c r="T123" s="30" t="str">
        <f>TEXT(WEEKDAY(DATE(CalendarYear,1,19),1),"aaa")</f>
        <v>Sun</v>
      </c>
      <c r="U123" s="30" t="str">
        <f>TEXT(WEEKDAY(DATE(CalendarYear,1,20),1),"aaa")</f>
        <v>Mon</v>
      </c>
      <c r="V123" s="30" t="str">
        <f>TEXT(WEEKDAY(DATE(CalendarYear,1,21),1),"aaa")</f>
        <v>Tue</v>
      </c>
      <c r="W123" s="30" t="str">
        <f>TEXT(WEEKDAY(DATE(CalendarYear,1,22),1),"aaa")</f>
        <v>Wed</v>
      </c>
      <c r="X123" s="30" t="str">
        <f>TEXT(WEEKDAY(DATE(CalendarYear,1,23),1),"aaa")</f>
        <v>Thu</v>
      </c>
      <c r="Y123" s="30" t="str">
        <f>TEXT(WEEKDAY(DATE(CalendarYear,1,24),1),"aaa")</f>
        <v>Fri</v>
      </c>
      <c r="Z123" s="30" t="str">
        <f>TEXT(WEEKDAY(DATE(CalendarYear,1,25),1),"aaa")</f>
        <v>Sat</v>
      </c>
      <c r="AA123" s="30" t="str">
        <f>TEXT(WEEKDAY(DATE(CalendarYear,1,26),1),"aaa")</f>
        <v>Sun</v>
      </c>
      <c r="AB123" s="30" t="str">
        <f>TEXT(WEEKDAY(DATE(CalendarYear,1,27),1),"aaa")</f>
        <v>Mon</v>
      </c>
      <c r="AC123" s="30" t="str">
        <f>TEXT(WEEKDAY(DATE(CalendarYear,1,28),1),"aaa")</f>
        <v>Tue</v>
      </c>
      <c r="AD123" s="30" t="str">
        <f>TEXT(WEEKDAY(DATE(CalendarYear,1,29),1),"aaa")</f>
        <v>Wed</v>
      </c>
      <c r="AE123" s="30" t="str">
        <f>TEXT(WEEKDAY(DATE(CalendarYear,1,30),1),"aaa")</f>
        <v>Thu</v>
      </c>
      <c r="AF123" s="31" t="str">
        <f>TEXT(WEEKDAY(DATE(CalendarYear,1,31),1),"aaa")</f>
        <v>Fri</v>
      </c>
      <c r="AG123" s="90"/>
      <c r="AH123" s="5"/>
    </row>
    <row r="124" spans="1:34" s="8" customFormat="1" ht="18.5" x14ac:dyDescent="0.35">
      <c r="A124" s="75" t="s">
        <v>53</v>
      </c>
      <c r="B124" s="27" t="s">
        <v>0</v>
      </c>
      <c r="C124" s="27" t="s">
        <v>1</v>
      </c>
      <c r="D124" s="27" t="s">
        <v>2</v>
      </c>
      <c r="E124" s="27" t="s">
        <v>3</v>
      </c>
      <c r="F124" s="27" t="s">
        <v>4</v>
      </c>
      <c r="G124" s="27" t="s">
        <v>5</v>
      </c>
      <c r="H124" s="27" t="s">
        <v>6</v>
      </c>
      <c r="I124" s="27" t="s">
        <v>7</v>
      </c>
      <c r="J124" s="27" t="s">
        <v>8</v>
      </c>
      <c r="K124" s="27" t="s">
        <v>9</v>
      </c>
      <c r="L124" s="27" t="s">
        <v>10</v>
      </c>
      <c r="M124" s="27" t="s">
        <v>11</v>
      </c>
      <c r="N124" s="27" t="s">
        <v>12</v>
      </c>
      <c r="O124" s="27" t="s">
        <v>13</v>
      </c>
      <c r="P124" s="27" t="s">
        <v>14</v>
      </c>
      <c r="Q124" s="27" t="s">
        <v>15</v>
      </c>
      <c r="R124" s="27" t="s">
        <v>16</v>
      </c>
      <c r="S124" s="27" t="s">
        <v>17</v>
      </c>
      <c r="T124" s="27" t="s">
        <v>18</v>
      </c>
      <c r="U124" s="27" t="s">
        <v>19</v>
      </c>
      <c r="V124" s="27" t="s">
        <v>20</v>
      </c>
      <c r="W124" s="27" t="s">
        <v>21</v>
      </c>
      <c r="X124" s="27" t="s">
        <v>22</v>
      </c>
      <c r="Y124" s="27" t="s">
        <v>23</v>
      </c>
      <c r="Z124" s="27" t="s">
        <v>24</v>
      </c>
      <c r="AA124" s="27" t="s">
        <v>25</v>
      </c>
      <c r="AB124" s="27" t="s">
        <v>26</v>
      </c>
      <c r="AC124" s="27" t="s">
        <v>27</v>
      </c>
      <c r="AD124" s="27" t="s">
        <v>28</v>
      </c>
      <c r="AE124" s="27" t="s">
        <v>29</v>
      </c>
      <c r="AF124" s="27" t="s">
        <v>30</v>
      </c>
      <c r="AG124" s="38" t="s">
        <v>47</v>
      </c>
      <c r="AH124" s="7"/>
    </row>
    <row r="125" spans="1:34" s="1" customFormat="1" ht="15.5" x14ac:dyDescent="0.35">
      <c r="A125" s="76" t="s">
        <v>55</v>
      </c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34">
        <f>COUNTA(Aug[[#This Row],[1]:[31]])</f>
        <v>0</v>
      </c>
      <c r="AH125" s="2"/>
    </row>
    <row r="126" spans="1:34" s="1" customFormat="1" ht="15.5" x14ac:dyDescent="0.35">
      <c r="A126" s="76" t="s">
        <v>56</v>
      </c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34">
        <f>COUNTA(Aug[[#This Row],[1]:[31]])</f>
        <v>0</v>
      </c>
      <c r="AH126" s="2"/>
    </row>
    <row r="127" spans="1:34" s="1" customFormat="1" ht="15.5" x14ac:dyDescent="0.35">
      <c r="A127" s="77" t="s">
        <v>49</v>
      </c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47">
        <f>COUNTA(Aug[[#This Row],[1]:[31]])</f>
        <v>0</v>
      </c>
      <c r="AH127" s="2"/>
    </row>
    <row r="128" spans="1:34" s="1" customFormat="1" ht="15.5" x14ac:dyDescent="0.35">
      <c r="A128" s="77" t="s">
        <v>57</v>
      </c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47">
        <f>COUNTA(Aug[[#This Row],[1]:[31]])</f>
        <v>0</v>
      </c>
      <c r="AH128" s="2"/>
    </row>
    <row r="129" spans="1:34" s="1" customFormat="1" ht="15.5" x14ac:dyDescent="0.35">
      <c r="A129" s="76" t="s">
        <v>58</v>
      </c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34">
        <f>COUNTA(Aug[[#This Row],[1]:[31]])</f>
        <v>0</v>
      </c>
      <c r="AH129" s="2"/>
    </row>
    <row r="130" spans="1:34" ht="14.5" x14ac:dyDescent="0.25">
      <c r="A130" s="79" t="str">
        <f>A122 &amp; " Total"</f>
        <v>August Summary Total</v>
      </c>
      <c r="B130" s="46">
        <f>SUBTOTAL(103,Aug[1])</f>
        <v>0</v>
      </c>
      <c r="C130" s="46">
        <f>SUBTOTAL(103,Aug[2])</f>
        <v>0</v>
      </c>
      <c r="D130" s="46">
        <f>SUBTOTAL(103,Aug[3])</f>
        <v>0</v>
      </c>
      <c r="E130" s="46">
        <f>SUBTOTAL(103,Aug[4])</f>
        <v>0</v>
      </c>
      <c r="F130" s="46">
        <f>SUBTOTAL(103,Aug[5])</f>
        <v>0</v>
      </c>
      <c r="G130" s="46">
        <f>SUBTOTAL(103,Aug[6])</f>
        <v>0</v>
      </c>
      <c r="H130" s="46">
        <f>SUBTOTAL(103,Aug[7])</f>
        <v>0</v>
      </c>
      <c r="I130" s="46">
        <f>SUBTOTAL(103,Aug[8])</f>
        <v>0</v>
      </c>
      <c r="J130" s="46">
        <f>SUBTOTAL(103,Aug[9])</f>
        <v>0</v>
      </c>
      <c r="K130" s="46">
        <f>SUBTOTAL(103,Aug[10])</f>
        <v>0</v>
      </c>
      <c r="L130" s="46">
        <f>SUBTOTAL(103,Aug[11])</f>
        <v>0</v>
      </c>
      <c r="M130" s="46">
        <f>SUBTOTAL(103,Aug[12])</f>
        <v>0</v>
      </c>
      <c r="N130" s="46">
        <f>SUBTOTAL(103,Aug[13])</f>
        <v>0</v>
      </c>
      <c r="O130" s="46">
        <f>SUBTOTAL(103,Aug[14])</f>
        <v>0</v>
      </c>
      <c r="P130" s="46">
        <f>SUBTOTAL(103,Aug[15])</f>
        <v>0</v>
      </c>
      <c r="Q130" s="46">
        <f>SUBTOTAL(103,Aug[16])</f>
        <v>0</v>
      </c>
      <c r="R130" s="46">
        <f>SUBTOTAL(103,Aug[17])</f>
        <v>0</v>
      </c>
      <c r="S130" s="46">
        <f>SUBTOTAL(103,Aug[18])</f>
        <v>0</v>
      </c>
      <c r="T130" s="46">
        <f>SUBTOTAL(103,Aug[19])</f>
        <v>0</v>
      </c>
      <c r="U130" s="46">
        <f>SUBTOTAL(103,Aug[20])</f>
        <v>0</v>
      </c>
      <c r="V130" s="46">
        <f>SUBTOTAL(103,Aug[21])</f>
        <v>0</v>
      </c>
      <c r="W130" s="46">
        <f>SUBTOTAL(103,Aug[22])</f>
        <v>0</v>
      </c>
      <c r="X130" s="46">
        <f>SUBTOTAL(103,Aug[23])</f>
        <v>0</v>
      </c>
      <c r="Y130" s="46">
        <f>SUBTOTAL(103,Aug[24])</f>
        <v>0</v>
      </c>
      <c r="Z130" s="46">
        <f>SUBTOTAL(103,Aug[25])</f>
        <v>0</v>
      </c>
      <c r="AA130" s="46">
        <f>SUBTOTAL(103,Aug[26])</f>
        <v>0</v>
      </c>
      <c r="AB130" s="46">
        <f>SUBTOTAL(103,Aug[27])</f>
        <v>0</v>
      </c>
      <c r="AC130" s="46">
        <f>SUBTOTAL(103,Aug[28])</f>
        <v>0</v>
      </c>
      <c r="AD130" s="46">
        <f>SUBTOTAL(103,Aug[29])</f>
        <v>0</v>
      </c>
      <c r="AE130" s="46">
        <f>SUBTOTAL(103,Aug[30])</f>
        <v>0</v>
      </c>
      <c r="AF130" s="46">
        <f>SUBTOTAL(103,Aug[31])</f>
        <v>0</v>
      </c>
      <c r="AG130" s="47">
        <f>SUBTOTAL(109,Aug[Total Days Traveled])</f>
        <v>0</v>
      </c>
    </row>
    <row r="131" spans="1:34" customFormat="1" ht="14.5" x14ac:dyDescent="0.35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</row>
    <row r="132" spans="1:34" customFormat="1" ht="16" thickBot="1" x14ac:dyDescent="0.4">
      <c r="A132" s="80"/>
      <c r="B132" s="39" t="s">
        <v>31</v>
      </c>
      <c r="C132" s="40"/>
      <c r="D132" s="41"/>
      <c r="E132" s="32"/>
      <c r="F132" s="32"/>
      <c r="G132" s="17" t="s">
        <v>52</v>
      </c>
      <c r="H132" s="73" t="s">
        <v>39</v>
      </c>
      <c r="I132" s="37"/>
      <c r="J132" s="37"/>
      <c r="K132" s="13" t="s">
        <v>51</v>
      </c>
      <c r="L132" s="73" t="s">
        <v>40</v>
      </c>
      <c r="M132" s="37"/>
      <c r="N132" s="37"/>
      <c r="O132" s="14" t="s">
        <v>42</v>
      </c>
      <c r="P132" s="73" t="s">
        <v>41</v>
      </c>
      <c r="Q132" s="37"/>
      <c r="R132" s="37"/>
      <c r="S132" s="15" t="s">
        <v>44</v>
      </c>
      <c r="T132" s="73" t="s">
        <v>43</v>
      </c>
      <c r="U132" s="36"/>
      <c r="V132" s="37"/>
      <c r="W132" s="16" t="s">
        <v>45</v>
      </c>
      <c r="X132" s="24" t="s">
        <v>46</v>
      </c>
      <c r="Y132" s="25"/>
      <c r="Z132" s="26"/>
      <c r="AA132" s="74"/>
      <c r="AB132" s="74"/>
      <c r="AC132" s="74"/>
      <c r="AD132" s="74"/>
      <c r="AE132" s="74"/>
      <c r="AF132" s="10"/>
      <c r="AG132" s="9"/>
    </row>
    <row r="133" spans="1:34" customFormat="1" ht="15" customHeight="1" x14ac:dyDescent="0.35">
      <c r="A133" s="81"/>
    </row>
    <row r="134" spans="1:34" customFormat="1" ht="15" customHeight="1" x14ac:dyDescent="0.35">
      <c r="A134" s="81"/>
    </row>
    <row r="135" spans="1:34" customFormat="1" ht="15" customHeight="1" x14ac:dyDescent="0.35">
      <c r="A135" s="81"/>
    </row>
    <row r="136" spans="1:34" customFormat="1" ht="15" customHeight="1" x14ac:dyDescent="0.35">
      <c r="A136" s="81"/>
    </row>
    <row r="137" spans="1:34" customFormat="1" ht="15" customHeight="1" x14ac:dyDescent="0.35">
      <c r="A137" s="81"/>
    </row>
    <row r="138" spans="1:34" customFormat="1" ht="15" customHeight="1" x14ac:dyDescent="0.35">
      <c r="A138" s="81"/>
    </row>
    <row r="139" spans="1:34" s="4" customFormat="1" ht="30" customHeight="1" x14ac:dyDescent="0.35">
      <c r="A139" s="87" t="s">
        <v>70</v>
      </c>
      <c r="B139" s="89" t="s">
        <v>38</v>
      </c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>
        <v>2025</v>
      </c>
      <c r="AH139" s="3"/>
    </row>
    <row r="140" spans="1:34" s="6" customFormat="1" ht="15.75" customHeight="1" x14ac:dyDescent="0.3">
      <c r="A140" s="88"/>
      <c r="B140" s="29" t="str">
        <f>TEXT(WEEKDAY(DATE(CalendarYear,1,1),1),"aaa")</f>
        <v>Wed</v>
      </c>
      <c r="C140" s="30" t="str">
        <f>TEXT(WEEKDAY(DATE(CalendarYear,1,2),1),"aaa")</f>
        <v>Thu</v>
      </c>
      <c r="D140" s="30" t="str">
        <f>TEXT(WEEKDAY(DATE(CalendarYear,1,3),1),"aaa")</f>
        <v>Fri</v>
      </c>
      <c r="E140" s="30" t="str">
        <f>TEXT(WEEKDAY(DATE(CalendarYear,1,4),1),"aaa")</f>
        <v>Sat</v>
      </c>
      <c r="F140" s="30" t="str">
        <f>TEXT(WEEKDAY(DATE(CalendarYear,1,5),1),"aaa")</f>
        <v>Sun</v>
      </c>
      <c r="G140" s="30" t="str">
        <f>TEXT(WEEKDAY(DATE(CalendarYear,1,6),1),"aaa")</f>
        <v>Mon</v>
      </c>
      <c r="H140" s="30" t="str">
        <f>TEXT(WEEKDAY(DATE(CalendarYear,1,7),1),"aaa")</f>
        <v>Tue</v>
      </c>
      <c r="I140" s="30" t="str">
        <f>TEXT(WEEKDAY(DATE(CalendarYear,1,8),1),"aaa")</f>
        <v>Wed</v>
      </c>
      <c r="J140" s="30" t="str">
        <f>TEXT(WEEKDAY(DATE(CalendarYear,1,9),1),"aaa")</f>
        <v>Thu</v>
      </c>
      <c r="K140" s="30" t="str">
        <f>TEXT(WEEKDAY(DATE(CalendarYear,1,10),1),"aaa")</f>
        <v>Fri</v>
      </c>
      <c r="L140" s="30" t="str">
        <f>TEXT(WEEKDAY(DATE(CalendarYear,1,11),1),"aaa")</f>
        <v>Sat</v>
      </c>
      <c r="M140" s="30" t="str">
        <f>TEXT(WEEKDAY(DATE(CalendarYear,1,12),1),"aaa")</f>
        <v>Sun</v>
      </c>
      <c r="N140" s="30" t="str">
        <f>TEXT(WEEKDAY(DATE(CalendarYear,1,13),1),"aaa")</f>
        <v>Mon</v>
      </c>
      <c r="O140" s="30" t="str">
        <f>TEXT(WEEKDAY(DATE(CalendarYear,1,14),1),"aaa")</f>
        <v>Tue</v>
      </c>
      <c r="P140" s="30" t="str">
        <f>TEXT(WEEKDAY(DATE(CalendarYear,1,15),1),"aaa")</f>
        <v>Wed</v>
      </c>
      <c r="Q140" s="30" t="str">
        <f>TEXT(WEEKDAY(DATE(CalendarYear,1,16),1),"aaa")</f>
        <v>Thu</v>
      </c>
      <c r="R140" s="30" t="str">
        <f>TEXT(WEEKDAY(DATE(CalendarYear,1,17),1),"aaa")</f>
        <v>Fri</v>
      </c>
      <c r="S140" s="30" t="str">
        <f>TEXT(WEEKDAY(DATE(CalendarYear,1,18),1),"aaa")</f>
        <v>Sat</v>
      </c>
      <c r="T140" s="30" t="str">
        <f>TEXT(WEEKDAY(DATE(CalendarYear,1,19),1),"aaa")</f>
        <v>Sun</v>
      </c>
      <c r="U140" s="30" t="str">
        <f>TEXT(WEEKDAY(DATE(CalendarYear,1,20),1),"aaa")</f>
        <v>Mon</v>
      </c>
      <c r="V140" s="30" t="str">
        <f>TEXT(WEEKDAY(DATE(CalendarYear,1,21),1),"aaa")</f>
        <v>Tue</v>
      </c>
      <c r="W140" s="30" t="str">
        <f>TEXT(WEEKDAY(DATE(CalendarYear,1,22),1),"aaa")</f>
        <v>Wed</v>
      </c>
      <c r="X140" s="30" t="str">
        <f>TEXT(WEEKDAY(DATE(CalendarYear,1,23),1),"aaa")</f>
        <v>Thu</v>
      </c>
      <c r="Y140" s="30" t="str">
        <f>TEXT(WEEKDAY(DATE(CalendarYear,1,24),1),"aaa")</f>
        <v>Fri</v>
      </c>
      <c r="Z140" s="30" t="str">
        <f>TEXT(WEEKDAY(DATE(CalendarYear,1,25),1),"aaa")</f>
        <v>Sat</v>
      </c>
      <c r="AA140" s="30" t="str">
        <f>TEXT(WEEKDAY(DATE(CalendarYear,1,26),1),"aaa")</f>
        <v>Sun</v>
      </c>
      <c r="AB140" s="30" t="str">
        <f>TEXT(WEEKDAY(DATE(CalendarYear,1,27),1),"aaa")</f>
        <v>Mon</v>
      </c>
      <c r="AC140" s="30" t="str">
        <f>TEXT(WEEKDAY(DATE(CalendarYear,1,28),1),"aaa")</f>
        <v>Tue</v>
      </c>
      <c r="AD140" s="30" t="str">
        <f>TEXT(WEEKDAY(DATE(CalendarYear,1,29),1),"aaa")</f>
        <v>Wed</v>
      </c>
      <c r="AE140" s="30" t="str">
        <f>TEXT(WEEKDAY(DATE(CalendarYear,1,30),1),"aaa")</f>
        <v>Thu</v>
      </c>
      <c r="AF140" s="31" t="str">
        <f>TEXT(WEEKDAY(DATE(CalendarYear,1,31),1),"aaa")</f>
        <v>Fri</v>
      </c>
      <c r="AG140" s="90"/>
      <c r="AH140" s="5"/>
    </row>
    <row r="141" spans="1:34" s="8" customFormat="1" ht="18.5" x14ac:dyDescent="0.35">
      <c r="A141" s="75" t="s">
        <v>53</v>
      </c>
      <c r="B141" s="27" t="s">
        <v>0</v>
      </c>
      <c r="C141" s="27" t="s">
        <v>1</v>
      </c>
      <c r="D141" s="27" t="s">
        <v>2</v>
      </c>
      <c r="E141" s="27" t="s">
        <v>3</v>
      </c>
      <c r="F141" s="27" t="s">
        <v>4</v>
      </c>
      <c r="G141" s="27" t="s">
        <v>5</v>
      </c>
      <c r="H141" s="27" t="s">
        <v>6</v>
      </c>
      <c r="I141" s="27" t="s">
        <v>7</v>
      </c>
      <c r="J141" s="27" t="s">
        <v>8</v>
      </c>
      <c r="K141" s="27" t="s">
        <v>9</v>
      </c>
      <c r="L141" s="27" t="s">
        <v>10</v>
      </c>
      <c r="M141" s="27" t="s">
        <v>11</v>
      </c>
      <c r="N141" s="27" t="s">
        <v>12</v>
      </c>
      <c r="O141" s="27" t="s">
        <v>13</v>
      </c>
      <c r="P141" s="27" t="s">
        <v>14</v>
      </c>
      <c r="Q141" s="27" t="s">
        <v>15</v>
      </c>
      <c r="R141" s="27" t="s">
        <v>16</v>
      </c>
      <c r="S141" s="27" t="s">
        <v>17</v>
      </c>
      <c r="T141" s="27" t="s">
        <v>18</v>
      </c>
      <c r="U141" s="27" t="s">
        <v>19</v>
      </c>
      <c r="V141" s="27" t="s">
        <v>20</v>
      </c>
      <c r="W141" s="27" t="s">
        <v>21</v>
      </c>
      <c r="X141" s="27" t="s">
        <v>22</v>
      </c>
      <c r="Y141" s="27" t="s">
        <v>23</v>
      </c>
      <c r="Z141" s="27" t="s">
        <v>24</v>
      </c>
      <c r="AA141" s="27" t="s">
        <v>25</v>
      </c>
      <c r="AB141" s="27" t="s">
        <v>26</v>
      </c>
      <c r="AC141" s="27" t="s">
        <v>27</v>
      </c>
      <c r="AD141" s="27" t="s">
        <v>28</v>
      </c>
      <c r="AE141" s="27" t="s">
        <v>29</v>
      </c>
      <c r="AF141" s="27" t="s">
        <v>30</v>
      </c>
      <c r="AG141" s="38" t="s">
        <v>47</v>
      </c>
      <c r="AH141" s="7"/>
    </row>
    <row r="142" spans="1:34" s="1" customFormat="1" ht="15.5" x14ac:dyDescent="0.35">
      <c r="A142" s="76" t="s">
        <v>55</v>
      </c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34">
        <f>COUNTA(Sept[[#This Row],[1]:[31]])</f>
        <v>0</v>
      </c>
      <c r="AH142" s="2"/>
    </row>
    <row r="143" spans="1:34" s="1" customFormat="1" ht="15.5" x14ac:dyDescent="0.35">
      <c r="A143" s="76" t="s">
        <v>56</v>
      </c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34">
        <f>COUNTA(Sept[[#This Row],[1]:[31]])</f>
        <v>0</v>
      </c>
      <c r="AH143" s="2"/>
    </row>
    <row r="144" spans="1:34" s="1" customFormat="1" ht="15.5" x14ac:dyDescent="0.35">
      <c r="A144" s="77" t="s">
        <v>49</v>
      </c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47">
        <f>COUNTA(Sept[[#This Row],[1]:[31]])</f>
        <v>0</v>
      </c>
      <c r="AH144" s="2"/>
    </row>
    <row r="145" spans="1:34" s="1" customFormat="1" ht="15.5" x14ac:dyDescent="0.35">
      <c r="A145" s="77" t="s">
        <v>57</v>
      </c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47">
        <f>COUNTA(Sept[[#This Row],[1]:[31]])</f>
        <v>0</v>
      </c>
      <c r="AH145" s="2"/>
    </row>
    <row r="146" spans="1:34" s="1" customFormat="1" ht="15.5" x14ac:dyDescent="0.35">
      <c r="A146" s="76" t="s">
        <v>58</v>
      </c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34">
        <f>COUNTA(Sept[[#This Row],[1]:[31]])</f>
        <v>0</v>
      </c>
      <c r="AH146" s="2"/>
    </row>
    <row r="147" spans="1:34" ht="14.5" x14ac:dyDescent="0.25">
      <c r="A147" s="79" t="str">
        <f>A139 &amp; " Total"</f>
        <v>September Summary Total</v>
      </c>
      <c r="B147" s="46">
        <f>SUBTOTAL(103,Sept[1])</f>
        <v>0</v>
      </c>
      <c r="C147" s="46">
        <f>SUBTOTAL(103,Sept[2])</f>
        <v>0</v>
      </c>
      <c r="D147" s="46">
        <f>SUBTOTAL(103,Sept[3])</f>
        <v>0</v>
      </c>
      <c r="E147" s="46">
        <f>SUBTOTAL(103,Sept[4])</f>
        <v>0</v>
      </c>
      <c r="F147" s="46">
        <f>SUBTOTAL(103,Sept[5])</f>
        <v>0</v>
      </c>
      <c r="G147" s="46">
        <f>SUBTOTAL(103,Sept[6])</f>
        <v>0</v>
      </c>
      <c r="H147" s="46">
        <f>SUBTOTAL(103,Sept[7])</f>
        <v>0</v>
      </c>
      <c r="I147" s="46">
        <f>SUBTOTAL(103,Sept[8])</f>
        <v>0</v>
      </c>
      <c r="J147" s="46">
        <f>SUBTOTAL(103,Sept[9])</f>
        <v>0</v>
      </c>
      <c r="K147" s="46">
        <f>SUBTOTAL(103,Sept[10])</f>
        <v>0</v>
      </c>
      <c r="L147" s="46">
        <f>SUBTOTAL(103,Sept[11])</f>
        <v>0</v>
      </c>
      <c r="M147" s="46">
        <f>SUBTOTAL(103,Sept[12])</f>
        <v>0</v>
      </c>
      <c r="N147" s="46">
        <f>SUBTOTAL(103,Sept[13])</f>
        <v>0</v>
      </c>
      <c r="O147" s="46">
        <f>SUBTOTAL(103,Sept[14])</f>
        <v>0</v>
      </c>
      <c r="P147" s="46">
        <f>SUBTOTAL(103,Sept[15])</f>
        <v>0</v>
      </c>
      <c r="Q147" s="46">
        <f>SUBTOTAL(103,Sept[16])</f>
        <v>0</v>
      </c>
      <c r="R147" s="46">
        <f>SUBTOTAL(103,Sept[17])</f>
        <v>0</v>
      </c>
      <c r="S147" s="46">
        <f>SUBTOTAL(103,Sept[18])</f>
        <v>0</v>
      </c>
      <c r="T147" s="46">
        <f>SUBTOTAL(103,Sept[19])</f>
        <v>0</v>
      </c>
      <c r="U147" s="46">
        <f>SUBTOTAL(103,Sept[20])</f>
        <v>0</v>
      </c>
      <c r="V147" s="46">
        <f>SUBTOTAL(103,Sept[21])</f>
        <v>0</v>
      </c>
      <c r="W147" s="46">
        <f>SUBTOTAL(103,Sept[22])</f>
        <v>0</v>
      </c>
      <c r="X147" s="46">
        <f>SUBTOTAL(103,Sept[23])</f>
        <v>0</v>
      </c>
      <c r="Y147" s="46">
        <f>SUBTOTAL(103,Sept[24])</f>
        <v>0</v>
      </c>
      <c r="Z147" s="46">
        <f>SUBTOTAL(103,Sept[25])</f>
        <v>0</v>
      </c>
      <c r="AA147" s="46">
        <f>SUBTOTAL(103,Sept[26])</f>
        <v>0</v>
      </c>
      <c r="AB147" s="46">
        <f>SUBTOTAL(103,Sept[27])</f>
        <v>0</v>
      </c>
      <c r="AC147" s="46">
        <f>SUBTOTAL(103,Sept[28])</f>
        <v>0</v>
      </c>
      <c r="AD147" s="46">
        <f>SUBTOTAL(103,Sept[29])</f>
        <v>0</v>
      </c>
      <c r="AE147" s="46">
        <f>SUBTOTAL(103,Sept[30])</f>
        <v>0</v>
      </c>
      <c r="AF147" s="46">
        <f>SUBTOTAL(103,Sept[31])</f>
        <v>0</v>
      </c>
      <c r="AG147" s="47">
        <f>SUBTOTAL(109,Sept[Total Days Traveled])</f>
        <v>0</v>
      </c>
    </row>
    <row r="148" spans="1:34" customFormat="1" ht="14.5" x14ac:dyDescent="0.35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</row>
    <row r="149" spans="1:34" customFormat="1" ht="16" thickBot="1" x14ac:dyDescent="0.4">
      <c r="A149" s="80"/>
      <c r="B149" s="39" t="s">
        <v>31</v>
      </c>
      <c r="C149" s="40"/>
      <c r="D149" s="41"/>
      <c r="E149" s="32"/>
      <c r="F149" s="32"/>
      <c r="G149" s="17" t="s">
        <v>52</v>
      </c>
      <c r="H149" s="73" t="s">
        <v>39</v>
      </c>
      <c r="I149" s="37"/>
      <c r="J149" s="37"/>
      <c r="K149" s="13" t="s">
        <v>51</v>
      </c>
      <c r="L149" s="73" t="s">
        <v>40</v>
      </c>
      <c r="M149" s="37"/>
      <c r="N149" s="37"/>
      <c r="O149" s="14" t="s">
        <v>42</v>
      </c>
      <c r="P149" s="73" t="s">
        <v>41</v>
      </c>
      <c r="Q149" s="37"/>
      <c r="R149" s="37"/>
      <c r="S149" s="15" t="s">
        <v>44</v>
      </c>
      <c r="T149" s="73" t="s">
        <v>43</v>
      </c>
      <c r="U149" s="36"/>
      <c r="V149" s="37"/>
      <c r="W149" s="16" t="s">
        <v>45</v>
      </c>
      <c r="X149" s="24" t="s">
        <v>46</v>
      </c>
      <c r="Y149" s="25"/>
      <c r="Z149" s="26"/>
      <c r="AA149" s="74"/>
      <c r="AB149" s="74"/>
      <c r="AC149" s="74"/>
      <c r="AD149" s="74"/>
      <c r="AE149" s="74"/>
      <c r="AF149" s="10"/>
      <c r="AG149" s="9"/>
    </row>
    <row r="150" spans="1:34" customFormat="1" ht="15" customHeight="1" x14ac:dyDescent="0.35">
      <c r="A150" s="81"/>
    </row>
    <row r="151" spans="1:34" customFormat="1" ht="15" customHeight="1" x14ac:dyDescent="0.35">
      <c r="A151" s="81"/>
    </row>
    <row r="152" spans="1:34" customFormat="1" ht="15" customHeight="1" x14ac:dyDescent="0.35">
      <c r="A152" s="81"/>
    </row>
    <row r="153" spans="1:34" customFormat="1" ht="15" customHeight="1" x14ac:dyDescent="0.35">
      <c r="A153" s="81"/>
    </row>
    <row r="154" spans="1:34" customFormat="1" ht="15" customHeight="1" x14ac:dyDescent="0.35">
      <c r="A154" s="81"/>
    </row>
    <row r="155" spans="1:34" customFormat="1" ht="15" customHeight="1" x14ac:dyDescent="0.35">
      <c r="A155" s="81"/>
    </row>
    <row r="156" spans="1:34" s="4" customFormat="1" ht="30" customHeight="1" x14ac:dyDescent="0.35">
      <c r="A156" s="87" t="s">
        <v>71</v>
      </c>
      <c r="B156" s="89" t="s">
        <v>38</v>
      </c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>
        <v>2025</v>
      </c>
      <c r="AH156" s="3"/>
    </row>
    <row r="157" spans="1:34" s="6" customFormat="1" ht="15.75" customHeight="1" x14ac:dyDescent="0.3">
      <c r="A157" s="88"/>
      <c r="B157" s="29" t="str">
        <f>TEXT(WEEKDAY(DATE(CalendarYear,1,1),1),"aaa")</f>
        <v>Wed</v>
      </c>
      <c r="C157" s="30" t="str">
        <f>TEXT(WEEKDAY(DATE(CalendarYear,1,2),1),"aaa")</f>
        <v>Thu</v>
      </c>
      <c r="D157" s="30" t="str">
        <f>TEXT(WEEKDAY(DATE(CalendarYear,1,3),1),"aaa")</f>
        <v>Fri</v>
      </c>
      <c r="E157" s="30" t="str">
        <f>TEXT(WEEKDAY(DATE(CalendarYear,1,4),1),"aaa")</f>
        <v>Sat</v>
      </c>
      <c r="F157" s="30" t="str">
        <f>TEXT(WEEKDAY(DATE(CalendarYear,1,5),1),"aaa")</f>
        <v>Sun</v>
      </c>
      <c r="G157" s="30" t="str">
        <f>TEXT(WEEKDAY(DATE(CalendarYear,1,6),1),"aaa")</f>
        <v>Mon</v>
      </c>
      <c r="H157" s="30" t="str">
        <f>TEXT(WEEKDAY(DATE(CalendarYear,1,7),1),"aaa")</f>
        <v>Tue</v>
      </c>
      <c r="I157" s="30" t="str">
        <f>TEXT(WEEKDAY(DATE(CalendarYear,1,8),1),"aaa")</f>
        <v>Wed</v>
      </c>
      <c r="J157" s="30" t="str">
        <f>TEXT(WEEKDAY(DATE(CalendarYear,1,9),1),"aaa")</f>
        <v>Thu</v>
      </c>
      <c r="K157" s="30" t="str">
        <f>TEXT(WEEKDAY(DATE(CalendarYear,1,10),1),"aaa")</f>
        <v>Fri</v>
      </c>
      <c r="L157" s="30" t="str">
        <f>TEXT(WEEKDAY(DATE(CalendarYear,1,11),1),"aaa")</f>
        <v>Sat</v>
      </c>
      <c r="M157" s="30" t="str">
        <f>TEXT(WEEKDAY(DATE(CalendarYear,1,12),1),"aaa")</f>
        <v>Sun</v>
      </c>
      <c r="N157" s="30" t="str">
        <f>TEXT(WEEKDAY(DATE(CalendarYear,1,13),1),"aaa")</f>
        <v>Mon</v>
      </c>
      <c r="O157" s="30" t="str">
        <f>TEXT(WEEKDAY(DATE(CalendarYear,1,14),1),"aaa")</f>
        <v>Tue</v>
      </c>
      <c r="P157" s="30" t="str">
        <f>TEXT(WEEKDAY(DATE(CalendarYear,1,15),1),"aaa")</f>
        <v>Wed</v>
      </c>
      <c r="Q157" s="30" t="str">
        <f>TEXT(WEEKDAY(DATE(CalendarYear,1,16),1),"aaa")</f>
        <v>Thu</v>
      </c>
      <c r="R157" s="30" t="str">
        <f>TEXT(WEEKDAY(DATE(CalendarYear,1,17),1),"aaa")</f>
        <v>Fri</v>
      </c>
      <c r="S157" s="30" t="str">
        <f>TEXT(WEEKDAY(DATE(CalendarYear,1,18),1),"aaa")</f>
        <v>Sat</v>
      </c>
      <c r="T157" s="30" t="str">
        <f>TEXT(WEEKDAY(DATE(CalendarYear,1,19),1),"aaa")</f>
        <v>Sun</v>
      </c>
      <c r="U157" s="30" t="str">
        <f>TEXT(WEEKDAY(DATE(CalendarYear,1,20),1),"aaa")</f>
        <v>Mon</v>
      </c>
      <c r="V157" s="30" t="str">
        <f>TEXT(WEEKDAY(DATE(CalendarYear,1,21),1),"aaa")</f>
        <v>Tue</v>
      </c>
      <c r="W157" s="30" t="str">
        <f>TEXT(WEEKDAY(DATE(CalendarYear,1,22),1),"aaa")</f>
        <v>Wed</v>
      </c>
      <c r="X157" s="30" t="str">
        <f>TEXT(WEEKDAY(DATE(CalendarYear,1,23),1),"aaa")</f>
        <v>Thu</v>
      </c>
      <c r="Y157" s="30" t="str">
        <f>TEXT(WEEKDAY(DATE(CalendarYear,1,24),1),"aaa")</f>
        <v>Fri</v>
      </c>
      <c r="Z157" s="30" t="str">
        <f>TEXT(WEEKDAY(DATE(CalendarYear,1,25),1),"aaa")</f>
        <v>Sat</v>
      </c>
      <c r="AA157" s="30" t="str">
        <f>TEXT(WEEKDAY(DATE(CalendarYear,1,26),1),"aaa")</f>
        <v>Sun</v>
      </c>
      <c r="AB157" s="30" t="str">
        <f>TEXT(WEEKDAY(DATE(CalendarYear,1,27),1),"aaa")</f>
        <v>Mon</v>
      </c>
      <c r="AC157" s="30" t="str">
        <f>TEXT(WEEKDAY(DATE(CalendarYear,1,28),1),"aaa")</f>
        <v>Tue</v>
      </c>
      <c r="AD157" s="30" t="str">
        <f>TEXT(WEEKDAY(DATE(CalendarYear,1,29),1),"aaa")</f>
        <v>Wed</v>
      </c>
      <c r="AE157" s="30" t="str">
        <f>TEXT(WEEKDAY(DATE(CalendarYear,1,30),1),"aaa")</f>
        <v>Thu</v>
      </c>
      <c r="AF157" s="31" t="str">
        <f>TEXT(WEEKDAY(DATE(CalendarYear,1,31),1),"aaa")</f>
        <v>Fri</v>
      </c>
      <c r="AG157" s="90"/>
      <c r="AH157" s="5"/>
    </row>
    <row r="158" spans="1:34" s="8" customFormat="1" ht="18.5" x14ac:dyDescent="0.35">
      <c r="A158" s="75" t="s">
        <v>53</v>
      </c>
      <c r="B158" s="27" t="s">
        <v>0</v>
      </c>
      <c r="C158" s="27" t="s">
        <v>1</v>
      </c>
      <c r="D158" s="27" t="s">
        <v>2</v>
      </c>
      <c r="E158" s="27" t="s">
        <v>3</v>
      </c>
      <c r="F158" s="27" t="s">
        <v>4</v>
      </c>
      <c r="G158" s="27" t="s">
        <v>5</v>
      </c>
      <c r="H158" s="27" t="s">
        <v>6</v>
      </c>
      <c r="I158" s="27" t="s">
        <v>7</v>
      </c>
      <c r="J158" s="27" t="s">
        <v>8</v>
      </c>
      <c r="K158" s="27" t="s">
        <v>9</v>
      </c>
      <c r="L158" s="27" t="s">
        <v>10</v>
      </c>
      <c r="M158" s="27" t="s">
        <v>11</v>
      </c>
      <c r="N158" s="27" t="s">
        <v>12</v>
      </c>
      <c r="O158" s="27" t="s">
        <v>13</v>
      </c>
      <c r="P158" s="27" t="s">
        <v>14</v>
      </c>
      <c r="Q158" s="27" t="s">
        <v>15</v>
      </c>
      <c r="R158" s="27" t="s">
        <v>16</v>
      </c>
      <c r="S158" s="27" t="s">
        <v>17</v>
      </c>
      <c r="T158" s="27" t="s">
        <v>18</v>
      </c>
      <c r="U158" s="27" t="s">
        <v>19</v>
      </c>
      <c r="V158" s="27" t="s">
        <v>20</v>
      </c>
      <c r="W158" s="27" t="s">
        <v>21</v>
      </c>
      <c r="X158" s="27" t="s">
        <v>22</v>
      </c>
      <c r="Y158" s="27" t="s">
        <v>23</v>
      </c>
      <c r="Z158" s="27" t="s">
        <v>24</v>
      </c>
      <c r="AA158" s="27" t="s">
        <v>25</v>
      </c>
      <c r="AB158" s="27" t="s">
        <v>26</v>
      </c>
      <c r="AC158" s="27" t="s">
        <v>27</v>
      </c>
      <c r="AD158" s="27" t="s">
        <v>28</v>
      </c>
      <c r="AE158" s="27" t="s">
        <v>29</v>
      </c>
      <c r="AF158" s="27" t="s">
        <v>30</v>
      </c>
      <c r="AG158" s="38" t="s">
        <v>47</v>
      </c>
      <c r="AH158" s="7"/>
    </row>
    <row r="159" spans="1:34" s="1" customFormat="1" ht="15.5" x14ac:dyDescent="0.35">
      <c r="A159" s="76" t="s">
        <v>55</v>
      </c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34">
        <f>COUNTA(Oct[[#This Row],[1]:[31]])</f>
        <v>0</v>
      </c>
      <c r="AH159" s="2"/>
    </row>
    <row r="160" spans="1:34" s="1" customFormat="1" ht="15.5" x14ac:dyDescent="0.35">
      <c r="A160" s="76" t="s">
        <v>56</v>
      </c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34">
        <f>COUNTA(Oct[[#This Row],[1]:[31]])</f>
        <v>0</v>
      </c>
      <c r="AH160" s="2"/>
    </row>
    <row r="161" spans="1:34" s="1" customFormat="1" ht="15.5" x14ac:dyDescent="0.35">
      <c r="A161" s="77" t="s">
        <v>49</v>
      </c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47">
        <f>COUNTA(Oct[[#This Row],[1]:[31]])</f>
        <v>0</v>
      </c>
      <c r="AH161" s="2"/>
    </row>
    <row r="162" spans="1:34" s="1" customFormat="1" ht="15.5" x14ac:dyDescent="0.35">
      <c r="A162" s="77" t="s">
        <v>57</v>
      </c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47">
        <f>COUNTA(Oct[[#This Row],[1]:[31]])</f>
        <v>0</v>
      </c>
      <c r="AH162" s="2"/>
    </row>
    <row r="163" spans="1:34" s="1" customFormat="1" ht="15.5" x14ac:dyDescent="0.35">
      <c r="A163" s="76" t="s">
        <v>58</v>
      </c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34">
        <f>COUNTA(Oct[[#This Row],[1]:[31]])</f>
        <v>0</v>
      </c>
      <c r="AH163" s="2"/>
    </row>
    <row r="164" spans="1:34" ht="14.5" x14ac:dyDescent="0.25">
      <c r="A164" s="79" t="str">
        <f>A156 &amp; " Total"</f>
        <v>October Summary Total</v>
      </c>
      <c r="B164" s="46">
        <f>SUBTOTAL(103,Oct[1])</f>
        <v>0</v>
      </c>
      <c r="C164" s="46">
        <f>SUBTOTAL(103,Oct[2])</f>
        <v>0</v>
      </c>
      <c r="D164" s="46">
        <f>SUBTOTAL(103,Oct[3])</f>
        <v>0</v>
      </c>
      <c r="E164" s="46">
        <f>SUBTOTAL(103,Oct[4])</f>
        <v>0</v>
      </c>
      <c r="F164" s="46">
        <f>SUBTOTAL(103,Oct[5])</f>
        <v>0</v>
      </c>
      <c r="G164" s="46">
        <f>SUBTOTAL(103,Oct[6])</f>
        <v>0</v>
      </c>
      <c r="H164" s="46">
        <f>SUBTOTAL(103,Oct[7])</f>
        <v>0</v>
      </c>
      <c r="I164" s="46">
        <f>SUBTOTAL(103,Oct[8])</f>
        <v>0</v>
      </c>
      <c r="J164" s="46">
        <f>SUBTOTAL(103,Oct[9])</f>
        <v>0</v>
      </c>
      <c r="K164" s="46">
        <f>SUBTOTAL(103,Oct[10])</f>
        <v>0</v>
      </c>
      <c r="L164" s="46">
        <f>SUBTOTAL(103,Oct[11])</f>
        <v>0</v>
      </c>
      <c r="M164" s="46">
        <f>SUBTOTAL(103,Oct[12])</f>
        <v>0</v>
      </c>
      <c r="N164" s="46">
        <f>SUBTOTAL(103,Oct[13])</f>
        <v>0</v>
      </c>
      <c r="O164" s="46">
        <f>SUBTOTAL(103,Oct[14])</f>
        <v>0</v>
      </c>
      <c r="P164" s="46">
        <f>SUBTOTAL(103,Oct[15])</f>
        <v>0</v>
      </c>
      <c r="Q164" s="46">
        <f>SUBTOTAL(103,Oct[16])</f>
        <v>0</v>
      </c>
      <c r="R164" s="46">
        <f>SUBTOTAL(103,Oct[17])</f>
        <v>0</v>
      </c>
      <c r="S164" s="46">
        <f>SUBTOTAL(103,Oct[18])</f>
        <v>0</v>
      </c>
      <c r="T164" s="46">
        <f>SUBTOTAL(103,Oct[19])</f>
        <v>0</v>
      </c>
      <c r="U164" s="46">
        <f>SUBTOTAL(103,Oct[20])</f>
        <v>0</v>
      </c>
      <c r="V164" s="46">
        <f>SUBTOTAL(103,Oct[21])</f>
        <v>0</v>
      </c>
      <c r="W164" s="46">
        <f>SUBTOTAL(103,Oct[22])</f>
        <v>0</v>
      </c>
      <c r="X164" s="46">
        <f>SUBTOTAL(103,Oct[23])</f>
        <v>0</v>
      </c>
      <c r="Y164" s="46">
        <f>SUBTOTAL(103,Oct[24])</f>
        <v>0</v>
      </c>
      <c r="Z164" s="46">
        <f>SUBTOTAL(103,Oct[25])</f>
        <v>0</v>
      </c>
      <c r="AA164" s="46">
        <f>SUBTOTAL(103,Oct[26])</f>
        <v>0</v>
      </c>
      <c r="AB164" s="46">
        <f>SUBTOTAL(103,Oct[27])</f>
        <v>0</v>
      </c>
      <c r="AC164" s="46">
        <f>SUBTOTAL(103,Oct[28])</f>
        <v>0</v>
      </c>
      <c r="AD164" s="46">
        <f>SUBTOTAL(103,Oct[29])</f>
        <v>0</v>
      </c>
      <c r="AE164" s="46">
        <f>SUBTOTAL(103,Oct[30])</f>
        <v>0</v>
      </c>
      <c r="AF164" s="46">
        <f>SUBTOTAL(103,Oct[31])</f>
        <v>0</v>
      </c>
      <c r="AG164" s="47">
        <f>SUBTOTAL(109,Oct[Total Days Traveled])</f>
        <v>0</v>
      </c>
    </row>
    <row r="165" spans="1:34" customFormat="1" ht="14.5" x14ac:dyDescent="0.3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</row>
    <row r="166" spans="1:34" customFormat="1" ht="16" thickBot="1" x14ac:dyDescent="0.4">
      <c r="A166" s="80"/>
      <c r="B166" s="39" t="s">
        <v>31</v>
      </c>
      <c r="C166" s="40"/>
      <c r="D166" s="41"/>
      <c r="E166" s="32"/>
      <c r="F166" s="32"/>
      <c r="G166" s="17" t="s">
        <v>52</v>
      </c>
      <c r="H166" s="73" t="s">
        <v>39</v>
      </c>
      <c r="I166" s="37"/>
      <c r="J166" s="37"/>
      <c r="K166" s="13" t="s">
        <v>51</v>
      </c>
      <c r="L166" s="73" t="s">
        <v>40</v>
      </c>
      <c r="M166" s="37"/>
      <c r="N166" s="37"/>
      <c r="O166" s="14" t="s">
        <v>42</v>
      </c>
      <c r="P166" s="73" t="s">
        <v>41</v>
      </c>
      <c r="Q166" s="37"/>
      <c r="R166" s="37"/>
      <c r="S166" s="15" t="s">
        <v>44</v>
      </c>
      <c r="T166" s="73" t="s">
        <v>43</v>
      </c>
      <c r="U166" s="36"/>
      <c r="V166" s="37"/>
      <c r="W166" s="16" t="s">
        <v>45</v>
      </c>
      <c r="X166" s="24" t="s">
        <v>46</v>
      </c>
      <c r="Y166" s="25"/>
      <c r="Z166" s="26"/>
      <c r="AA166" s="74"/>
      <c r="AB166" s="74"/>
      <c r="AC166" s="74"/>
      <c r="AD166" s="74"/>
      <c r="AE166" s="74"/>
      <c r="AF166" s="10"/>
      <c r="AG166" s="9"/>
    </row>
    <row r="167" spans="1:34" customFormat="1" ht="15" customHeight="1" x14ac:dyDescent="0.35">
      <c r="A167" s="81"/>
    </row>
    <row r="168" spans="1:34" customFormat="1" ht="15" customHeight="1" x14ac:dyDescent="0.35">
      <c r="A168" s="81"/>
    </row>
    <row r="169" spans="1:34" customFormat="1" ht="15" customHeight="1" x14ac:dyDescent="0.35">
      <c r="A169" s="81"/>
    </row>
    <row r="170" spans="1:34" customFormat="1" ht="15" customHeight="1" x14ac:dyDescent="0.35">
      <c r="A170" s="81"/>
    </row>
    <row r="171" spans="1:34" customFormat="1" ht="15" customHeight="1" x14ac:dyDescent="0.35">
      <c r="A171" s="81"/>
    </row>
    <row r="172" spans="1:34" customFormat="1" ht="15" customHeight="1" x14ac:dyDescent="0.35">
      <c r="A172" s="81"/>
    </row>
    <row r="173" spans="1:34" s="4" customFormat="1" ht="30" customHeight="1" x14ac:dyDescent="0.35">
      <c r="A173" s="87" t="s">
        <v>72</v>
      </c>
      <c r="B173" s="89" t="s">
        <v>38</v>
      </c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>
        <v>2025</v>
      </c>
      <c r="AH173" s="3"/>
    </row>
    <row r="174" spans="1:34" s="6" customFormat="1" ht="15.75" customHeight="1" x14ac:dyDescent="0.3">
      <c r="A174" s="88"/>
      <c r="B174" s="29" t="str">
        <f>TEXT(WEEKDAY(DATE(CalendarYear,1,1),1),"aaa")</f>
        <v>Wed</v>
      </c>
      <c r="C174" s="30" t="str">
        <f>TEXT(WEEKDAY(DATE(CalendarYear,1,2),1),"aaa")</f>
        <v>Thu</v>
      </c>
      <c r="D174" s="30" t="str">
        <f>TEXT(WEEKDAY(DATE(CalendarYear,1,3),1),"aaa")</f>
        <v>Fri</v>
      </c>
      <c r="E174" s="30" t="str">
        <f>TEXT(WEEKDAY(DATE(CalendarYear,1,4),1),"aaa")</f>
        <v>Sat</v>
      </c>
      <c r="F174" s="30" t="str">
        <f>TEXT(WEEKDAY(DATE(CalendarYear,1,5),1),"aaa")</f>
        <v>Sun</v>
      </c>
      <c r="G174" s="30" t="str">
        <f>TEXT(WEEKDAY(DATE(CalendarYear,1,6),1),"aaa")</f>
        <v>Mon</v>
      </c>
      <c r="H174" s="30" t="str">
        <f>TEXT(WEEKDAY(DATE(CalendarYear,1,7),1),"aaa")</f>
        <v>Tue</v>
      </c>
      <c r="I174" s="30" t="str">
        <f>TEXT(WEEKDAY(DATE(CalendarYear,1,8),1),"aaa")</f>
        <v>Wed</v>
      </c>
      <c r="J174" s="30" t="str">
        <f>TEXT(WEEKDAY(DATE(CalendarYear,1,9),1),"aaa")</f>
        <v>Thu</v>
      </c>
      <c r="K174" s="30" t="str">
        <f>TEXT(WEEKDAY(DATE(CalendarYear,1,10),1),"aaa")</f>
        <v>Fri</v>
      </c>
      <c r="L174" s="30" t="str">
        <f>TEXT(WEEKDAY(DATE(CalendarYear,1,11),1),"aaa")</f>
        <v>Sat</v>
      </c>
      <c r="M174" s="30" t="str">
        <f>TEXT(WEEKDAY(DATE(CalendarYear,1,12),1),"aaa")</f>
        <v>Sun</v>
      </c>
      <c r="N174" s="30" t="str">
        <f>TEXT(WEEKDAY(DATE(CalendarYear,1,13),1),"aaa")</f>
        <v>Mon</v>
      </c>
      <c r="O174" s="30" t="str">
        <f>TEXT(WEEKDAY(DATE(CalendarYear,1,14),1),"aaa")</f>
        <v>Tue</v>
      </c>
      <c r="P174" s="30" t="str">
        <f>TEXT(WEEKDAY(DATE(CalendarYear,1,15),1),"aaa")</f>
        <v>Wed</v>
      </c>
      <c r="Q174" s="30" t="str">
        <f>TEXT(WEEKDAY(DATE(CalendarYear,1,16),1),"aaa")</f>
        <v>Thu</v>
      </c>
      <c r="R174" s="30" t="str">
        <f>TEXT(WEEKDAY(DATE(CalendarYear,1,17),1),"aaa")</f>
        <v>Fri</v>
      </c>
      <c r="S174" s="30" t="str">
        <f>TEXT(WEEKDAY(DATE(CalendarYear,1,18),1),"aaa")</f>
        <v>Sat</v>
      </c>
      <c r="T174" s="30" t="str">
        <f>TEXT(WEEKDAY(DATE(CalendarYear,1,19),1),"aaa")</f>
        <v>Sun</v>
      </c>
      <c r="U174" s="30" t="str">
        <f>TEXT(WEEKDAY(DATE(CalendarYear,1,20),1),"aaa")</f>
        <v>Mon</v>
      </c>
      <c r="V174" s="30" t="str">
        <f>TEXT(WEEKDAY(DATE(CalendarYear,1,21),1),"aaa")</f>
        <v>Tue</v>
      </c>
      <c r="W174" s="30" t="str">
        <f>TEXT(WEEKDAY(DATE(CalendarYear,1,22),1),"aaa")</f>
        <v>Wed</v>
      </c>
      <c r="X174" s="30" t="str">
        <f>TEXT(WEEKDAY(DATE(CalendarYear,1,23),1),"aaa")</f>
        <v>Thu</v>
      </c>
      <c r="Y174" s="30" t="str">
        <f>TEXT(WEEKDAY(DATE(CalendarYear,1,24),1),"aaa")</f>
        <v>Fri</v>
      </c>
      <c r="Z174" s="30" t="str">
        <f>TEXT(WEEKDAY(DATE(CalendarYear,1,25),1),"aaa")</f>
        <v>Sat</v>
      </c>
      <c r="AA174" s="30" t="str">
        <f>TEXT(WEEKDAY(DATE(CalendarYear,1,26),1),"aaa")</f>
        <v>Sun</v>
      </c>
      <c r="AB174" s="30" t="str">
        <f>TEXT(WEEKDAY(DATE(CalendarYear,1,27),1),"aaa")</f>
        <v>Mon</v>
      </c>
      <c r="AC174" s="30" t="str">
        <f>TEXT(WEEKDAY(DATE(CalendarYear,1,28),1),"aaa")</f>
        <v>Tue</v>
      </c>
      <c r="AD174" s="30" t="str">
        <f>TEXT(WEEKDAY(DATE(CalendarYear,1,29),1),"aaa")</f>
        <v>Wed</v>
      </c>
      <c r="AE174" s="30" t="str">
        <f>TEXT(WEEKDAY(DATE(CalendarYear,1,30),1),"aaa")</f>
        <v>Thu</v>
      </c>
      <c r="AF174" s="31" t="str">
        <f>TEXT(WEEKDAY(DATE(CalendarYear,1,31),1),"aaa")</f>
        <v>Fri</v>
      </c>
      <c r="AG174" s="90"/>
      <c r="AH174" s="5"/>
    </row>
    <row r="175" spans="1:34" s="8" customFormat="1" ht="18.5" x14ac:dyDescent="0.35">
      <c r="A175" s="75" t="s">
        <v>53</v>
      </c>
      <c r="B175" s="27" t="s">
        <v>0</v>
      </c>
      <c r="C175" s="27" t="s">
        <v>1</v>
      </c>
      <c r="D175" s="27" t="s">
        <v>2</v>
      </c>
      <c r="E175" s="27" t="s">
        <v>3</v>
      </c>
      <c r="F175" s="27" t="s">
        <v>4</v>
      </c>
      <c r="G175" s="27" t="s">
        <v>5</v>
      </c>
      <c r="H175" s="27" t="s">
        <v>6</v>
      </c>
      <c r="I175" s="27" t="s">
        <v>7</v>
      </c>
      <c r="J175" s="27" t="s">
        <v>8</v>
      </c>
      <c r="K175" s="27" t="s">
        <v>9</v>
      </c>
      <c r="L175" s="27" t="s">
        <v>10</v>
      </c>
      <c r="M175" s="27" t="s">
        <v>11</v>
      </c>
      <c r="N175" s="27" t="s">
        <v>12</v>
      </c>
      <c r="O175" s="27" t="s">
        <v>13</v>
      </c>
      <c r="P175" s="27" t="s">
        <v>14</v>
      </c>
      <c r="Q175" s="27" t="s">
        <v>15</v>
      </c>
      <c r="R175" s="27" t="s">
        <v>16</v>
      </c>
      <c r="S175" s="27" t="s">
        <v>17</v>
      </c>
      <c r="T175" s="27" t="s">
        <v>18</v>
      </c>
      <c r="U175" s="27" t="s">
        <v>19</v>
      </c>
      <c r="V175" s="27" t="s">
        <v>20</v>
      </c>
      <c r="W175" s="27" t="s">
        <v>21</v>
      </c>
      <c r="X175" s="27" t="s">
        <v>22</v>
      </c>
      <c r="Y175" s="27" t="s">
        <v>23</v>
      </c>
      <c r="Z175" s="27" t="s">
        <v>24</v>
      </c>
      <c r="AA175" s="27" t="s">
        <v>25</v>
      </c>
      <c r="AB175" s="27" t="s">
        <v>26</v>
      </c>
      <c r="AC175" s="27" t="s">
        <v>27</v>
      </c>
      <c r="AD175" s="27" t="s">
        <v>28</v>
      </c>
      <c r="AE175" s="27" t="s">
        <v>29</v>
      </c>
      <c r="AF175" s="27" t="s">
        <v>30</v>
      </c>
      <c r="AG175" s="38" t="s">
        <v>47</v>
      </c>
      <c r="AH175" s="7"/>
    </row>
    <row r="176" spans="1:34" s="1" customFormat="1" ht="15.5" x14ac:dyDescent="0.35">
      <c r="A176" s="76" t="s">
        <v>55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34">
        <f>COUNTA(Nov[[#This Row],[1]:[31]])</f>
        <v>0</v>
      </c>
      <c r="AH176" s="2"/>
    </row>
    <row r="177" spans="1:34" s="1" customFormat="1" ht="15.5" x14ac:dyDescent="0.35">
      <c r="A177" s="76" t="s">
        <v>56</v>
      </c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34">
        <f>COUNTA(Nov[[#This Row],[1]:[31]])</f>
        <v>0</v>
      </c>
      <c r="AH177" s="2"/>
    </row>
    <row r="178" spans="1:34" s="1" customFormat="1" ht="15.5" x14ac:dyDescent="0.35">
      <c r="A178" s="77" t="s">
        <v>49</v>
      </c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47">
        <f>COUNTA(Nov[[#This Row],[1]:[31]])</f>
        <v>0</v>
      </c>
      <c r="AH178" s="2"/>
    </row>
    <row r="179" spans="1:34" s="1" customFormat="1" ht="15.5" x14ac:dyDescent="0.35">
      <c r="A179" s="77" t="s">
        <v>57</v>
      </c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47">
        <f>COUNTA(Nov[[#This Row],[1]:[31]])</f>
        <v>0</v>
      </c>
      <c r="AH179" s="2"/>
    </row>
    <row r="180" spans="1:34" s="1" customFormat="1" ht="15.5" x14ac:dyDescent="0.35">
      <c r="A180" s="76" t="s">
        <v>58</v>
      </c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34">
        <f>COUNTA(Nov[[#This Row],[1]:[31]])</f>
        <v>0</v>
      </c>
      <c r="AH180" s="2"/>
    </row>
    <row r="181" spans="1:34" ht="14.5" x14ac:dyDescent="0.25">
      <c r="A181" s="79" t="str">
        <f>A173 &amp; " Total"</f>
        <v>November Summary Total</v>
      </c>
      <c r="B181" s="46">
        <f>SUBTOTAL(103,Nov[1])</f>
        <v>0</v>
      </c>
      <c r="C181" s="46">
        <f>SUBTOTAL(103,Nov[2])</f>
        <v>0</v>
      </c>
      <c r="D181" s="46">
        <f>SUBTOTAL(103,Nov[3])</f>
        <v>0</v>
      </c>
      <c r="E181" s="46">
        <f>SUBTOTAL(103,Nov[4])</f>
        <v>0</v>
      </c>
      <c r="F181" s="46">
        <f>SUBTOTAL(103,Nov[5])</f>
        <v>0</v>
      </c>
      <c r="G181" s="46">
        <f>SUBTOTAL(103,Nov[6])</f>
        <v>0</v>
      </c>
      <c r="H181" s="46">
        <f>SUBTOTAL(103,Nov[7])</f>
        <v>0</v>
      </c>
      <c r="I181" s="46">
        <f>SUBTOTAL(103,Nov[8])</f>
        <v>0</v>
      </c>
      <c r="J181" s="46">
        <f>SUBTOTAL(103,Nov[9])</f>
        <v>0</v>
      </c>
      <c r="K181" s="46">
        <f>SUBTOTAL(103,Nov[10])</f>
        <v>0</v>
      </c>
      <c r="L181" s="46">
        <f>SUBTOTAL(103,Nov[11])</f>
        <v>0</v>
      </c>
      <c r="M181" s="46">
        <f>SUBTOTAL(103,Nov[12])</f>
        <v>0</v>
      </c>
      <c r="N181" s="46">
        <f>SUBTOTAL(103,Nov[13])</f>
        <v>0</v>
      </c>
      <c r="O181" s="46">
        <f>SUBTOTAL(103,Nov[14])</f>
        <v>0</v>
      </c>
      <c r="P181" s="46">
        <f>SUBTOTAL(103,Nov[15])</f>
        <v>0</v>
      </c>
      <c r="Q181" s="46">
        <f>SUBTOTAL(103,Nov[16])</f>
        <v>0</v>
      </c>
      <c r="R181" s="46">
        <f>SUBTOTAL(103,Nov[17])</f>
        <v>0</v>
      </c>
      <c r="S181" s="46">
        <f>SUBTOTAL(103,Nov[18])</f>
        <v>0</v>
      </c>
      <c r="T181" s="46">
        <f>SUBTOTAL(103,Nov[19])</f>
        <v>0</v>
      </c>
      <c r="U181" s="46">
        <f>SUBTOTAL(103,Nov[20])</f>
        <v>0</v>
      </c>
      <c r="V181" s="46">
        <f>SUBTOTAL(103,Nov[21])</f>
        <v>0</v>
      </c>
      <c r="W181" s="46">
        <f>SUBTOTAL(103,Nov[22])</f>
        <v>0</v>
      </c>
      <c r="X181" s="46">
        <f>SUBTOTAL(103,Nov[23])</f>
        <v>0</v>
      </c>
      <c r="Y181" s="46">
        <f>SUBTOTAL(103,Nov[24])</f>
        <v>0</v>
      </c>
      <c r="Z181" s="46">
        <f>SUBTOTAL(103,Nov[25])</f>
        <v>0</v>
      </c>
      <c r="AA181" s="46">
        <f>SUBTOTAL(103,Nov[26])</f>
        <v>0</v>
      </c>
      <c r="AB181" s="46">
        <f>SUBTOTAL(103,Nov[27])</f>
        <v>0</v>
      </c>
      <c r="AC181" s="46">
        <f>SUBTOTAL(103,Nov[28])</f>
        <v>0</v>
      </c>
      <c r="AD181" s="46">
        <f>SUBTOTAL(103,Nov[29])</f>
        <v>0</v>
      </c>
      <c r="AE181" s="46">
        <f>SUBTOTAL(103,Nov[30])</f>
        <v>0</v>
      </c>
      <c r="AF181" s="46">
        <f>SUBTOTAL(103,Nov[31])</f>
        <v>0</v>
      </c>
      <c r="AG181" s="47">
        <f>SUBTOTAL(109,Nov[Total Days Traveled])</f>
        <v>0</v>
      </c>
    </row>
    <row r="182" spans="1:34" customFormat="1" ht="14.5" x14ac:dyDescent="0.35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</row>
    <row r="183" spans="1:34" customFormat="1" ht="16" thickBot="1" x14ac:dyDescent="0.4">
      <c r="A183" s="80"/>
      <c r="B183" s="39" t="s">
        <v>31</v>
      </c>
      <c r="C183" s="40"/>
      <c r="D183" s="41"/>
      <c r="E183" s="32"/>
      <c r="F183" s="32"/>
      <c r="G183" s="17" t="s">
        <v>52</v>
      </c>
      <c r="H183" s="73" t="s">
        <v>39</v>
      </c>
      <c r="I183" s="37"/>
      <c r="J183" s="37"/>
      <c r="K183" s="13" t="s">
        <v>51</v>
      </c>
      <c r="L183" s="73" t="s">
        <v>40</v>
      </c>
      <c r="M183" s="37"/>
      <c r="N183" s="37"/>
      <c r="O183" s="14" t="s">
        <v>42</v>
      </c>
      <c r="P183" s="73" t="s">
        <v>41</v>
      </c>
      <c r="Q183" s="37"/>
      <c r="R183" s="37"/>
      <c r="S183" s="15" t="s">
        <v>44</v>
      </c>
      <c r="T183" s="73" t="s">
        <v>43</v>
      </c>
      <c r="U183" s="36"/>
      <c r="V183" s="37"/>
      <c r="W183" s="16" t="s">
        <v>45</v>
      </c>
      <c r="X183" s="24" t="s">
        <v>46</v>
      </c>
      <c r="Y183" s="25"/>
      <c r="Z183" s="26"/>
      <c r="AA183" s="74"/>
      <c r="AB183" s="74"/>
      <c r="AC183" s="74"/>
      <c r="AD183" s="74"/>
      <c r="AE183" s="74"/>
      <c r="AF183" s="10"/>
      <c r="AG183" s="9"/>
    </row>
    <row r="184" spans="1:34" customFormat="1" ht="15" customHeight="1" x14ac:dyDescent="0.35">
      <c r="A184" s="81"/>
    </row>
    <row r="185" spans="1:34" customFormat="1" ht="15" customHeight="1" x14ac:dyDescent="0.35">
      <c r="A185" s="81"/>
    </row>
    <row r="186" spans="1:34" customFormat="1" ht="15" customHeight="1" x14ac:dyDescent="0.35">
      <c r="A186" s="81"/>
    </row>
    <row r="187" spans="1:34" customFormat="1" ht="15" customHeight="1" x14ac:dyDescent="0.35">
      <c r="A187" s="81"/>
    </row>
    <row r="188" spans="1:34" customFormat="1" ht="15" customHeight="1" x14ac:dyDescent="0.35">
      <c r="A188" s="81"/>
    </row>
    <row r="189" spans="1:34" customFormat="1" ht="15" customHeight="1" x14ac:dyDescent="0.35">
      <c r="A189" s="81"/>
    </row>
    <row r="190" spans="1:34" s="4" customFormat="1" ht="30" customHeight="1" x14ac:dyDescent="0.35">
      <c r="A190" s="87" t="s">
        <v>73</v>
      </c>
      <c r="B190" s="89" t="s">
        <v>38</v>
      </c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>
        <v>2025</v>
      </c>
      <c r="AH190" s="3"/>
    </row>
    <row r="191" spans="1:34" s="6" customFormat="1" ht="15.75" customHeight="1" x14ac:dyDescent="0.3">
      <c r="A191" s="88"/>
      <c r="B191" s="29" t="str">
        <f>TEXT(WEEKDAY(DATE(CalendarYear,1,1),1),"aaa")</f>
        <v>Wed</v>
      </c>
      <c r="C191" s="30" t="str">
        <f>TEXT(WEEKDAY(DATE(CalendarYear,1,2),1),"aaa")</f>
        <v>Thu</v>
      </c>
      <c r="D191" s="30" t="str">
        <f>TEXT(WEEKDAY(DATE(CalendarYear,1,3),1),"aaa")</f>
        <v>Fri</v>
      </c>
      <c r="E191" s="30" t="str">
        <f>TEXT(WEEKDAY(DATE(CalendarYear,1,4),1),"aaa")</f>
        <v>Sat</v>
      </c>
      <c r="F191" s="30" t="str">
        <f>TEXT(WEEKDAY(DATE(CalendarYear,1,5),1),"aaa")</f>
        <v>Sun</v>
      </c>
      <c r="G191" s="30" t="str">
        <f>TEXT(WEEKDAY(DATE(CalendarYear,1,6),1),"aaa")</f>
        <v>Mon</v>
      </c>
      <c r="H191" s="30" t="str">
        <f>TEXT(WEEKDAY(DATE(CalendarYear,1,7),1),"aaa")</f>
        <v>Tue</v>
      </c>
      <c r="I191" s="30" t="str">
        <f>TEXT(WEEKDAY(DATE(CalendarYear,1,8),1),"aaa")</f>
        <v>Wed</v>
      </c>
      <c r="J191" s="30" t="str">
        <f>TEXT(WEEKDAY(DATE(CalendarYear,1,9),1),"aaa")</f>
        <v>Thu</v>
      </c>
      <c r="K191" s="30" t="str">
        <f>TEXT(WEEKDAY(DATE(CalendarYear,1,10),1),"aaa")</f>
        <v>Fri</v>
      </c>
      <c r="L191" s="30" t="str">
        <f>TEXT(WEEKDAY(DATE(CalendarYear,1,11),1),"aaa")</f>
        <v>Sat</v>
      </c>
      <c r="M191" s="30" t="str">
        <f>TEXT(WEEKDAY(DATE(CalendarYear,1,12),1),"aaa")</f>
        <v>Sun</v>
      </c>
      <c r="N191" s="30" t="str">
        <f>TEXT(WEEKDAY(DATE(CalendarYear,1,13),1),"aaa")</f>
        <v>Mon</v>
      </c>
      <c r="O191" s="30" t="str">
        <f>TEXT(WEEKDAY(DATE(CalendarYear,1,14),1),"aaa")</f>
        <v>Tue</v>
      </c>
      <c r="P191" s="30" t="str">
        <f>TEXT(WEEKDAY(DATE(CalendarYear,1,15),1),"aaa")</f>
        <v>Wed</v>
      </c>
      <c r="Q191" s="30" t="str">
        <f>TEXT(WEEKDAY(DATE(CalendarYear,1,16),1),"aaa")</f>
        <v>Thu</v>
      </c>
      <c r="R191" s="30" t="str">
        <f>TEXT(WEEKDAY(DATE(CalendarYear,1,17),1),"aaa")</f>
        <v>Fri</v>
      </c>
      <c r="S191" s="30" t="str">
        <f>TEXT(WEEKDAY(DATE(CalendarYear,1,18),1),"aaa")</f>
        <v>Sat</v>
      </c>
      <c r="T191" s="30" t="str">
        <f>TEXT(WEEKDAY(DATE(CalendarYear,1,19),1),"aaa")</f>
        <v>Sun</v>
      </c>
      <c r="U191" s="30" t="str">
        <f>TEXT(WEEKDAY(DATE(CalendarYear,1,20),1),"aaa")</f>
        <v>Mon</v>
      </c>
      <c r="V191" s="30" t="str">
        <f>TEXT(WEEKDAY(DATE(CalendarYear,1,21),1),"aaa")</f>
        <v>Tue</v>
      </c>
      <c r="W191" s="30" t="str">
        <f>TEXT(WEEKDAY(DATE(CalendarYear,1,22),1),"aaa")</f>
        <v>Wed</v>
      </c>
      <c r="X191" s="30" t="str">
        <f>TEXT(WEEKDAY(DATE(CalendarYear,1,23),1),"aaa")</f>
        <v>Thu</v>
      </c>
      <c r="Y191" s="30" t="str">
        <f>TEXT(WEEKDAY(DATE(CalendarYear,1,24),1),"aaa")</f>
        <v>Fri</v>
      </c>
      <c r="Z191" s="30" t="str">
        <f>TEXT(WEEKDAY(DATE(CalendarYear,1,25),1),"aaa")</f>
        <v>Sat</v>
      </c>
      <c r="AA191" s="30" t="str">
        <f>TEXT(WEEKDAY(DATE(CalendarYear,1,26),1),"aaa")</f>
        <v>Sun</v>
      </c>
      <c r="AB191" s="30" t="str">
        <f>TEXT(WEEKDAY(DATE(CalendarYear,1,27),1),"aaa")</f>
        <v>Mon</v>
      </c>
      <c r="AC191" s="30" t="str">
        <f>TEXT(WEEKDAY(DATE(CalendarYear,1,28),1),"aaa")</f>
        <v>Tue</v>
      </c>
      <c r="AD191" s="30" t="str">
        <f>TEXT(WEEKDAY(DATE(CalendarYear,1,29),1),"aaa")</f>
        <v>Wed</v>
      </c>
      <c r="AE191" s="30" t="str">
        <f>TEXT(WEEKDAY(DATE(CalendarYear,1,30),1),"aaa")</f>
        <v>Thu</v>
      </c>
      <c r="AF191" s="31" t="str">
        <f>TEXT(WEEKDAY(DATE(CalendarYear,1,31),1),"aaa")</f>
        <v>Fri</v>
      </c>
      <c r="AG191" s="90"/>
      <c r="AH191" s="5"/>
    </row>
    <row r="192" spans="1:34" s="8" customFormat="1" ht="18.5" x14ac:dyDescent="0.35">
      <c r="A192" s="75" t="s">
        <v>53</v>
      </c>
      <c r="B192" s="27" t="s">
        <v>0</v>
      </c>
      <c r="C192" s="27" t="s">
        <v>1</v>
      </c>
      <c r="D192" s="27" t="s">
        <v>2</v>
      </c>
      <c r="E192" s="27" t="s">
        <v>3</v>
      </c>
      <c r="F192" s="27" t="s">
        <v>4</v>
      </c>
      <c r="G192" s="27" t="s">
        <v>5</v>
      </c>
      <c r="H192" s="27" t="s">
        <v>6</v>
      </c>
      <c r="I192" s="27" t="s">
        <v>7</v>
      </c>
      <c r="J192" s="27" t="s">
        <v>8</v>
      </c>
      <c r="K192" s="27" t="s">
        <v>9</v>
      </c>
      <c r="L192" s="27" t="s">
        <v>10</v>
      </c>
      <c r="M192" s="27" t="s">
        <v>11</v>
      </c>
      <c r="N192" s="27" t="s">
        <v>12</v>
      </c>
      <c r="O192" s="27" t="s">
        <v>13</v>
      </c>
      <c r="P192" s="27" t="s">
        <v>14</v>
      </c>
      <c r="Q192" s="27" t="s">
        <v>15</v>
      </c>
      <c r="R192" s="27" t="s">
        <v>16</v>
      </c>
      <c r="S192" s="27" t="s">
        <v>17</v>
      </c>
      <c r="T192" s="27" t="s">
        <v>18</v>
      </c>
      <c r="U192" s="27" t="s">
        <v>19</v>
      </c>
      <c r="V192" s="27" t="s">
        <v>20</v>
      </c>
      <c r="W192" s="27" t="s">
        <v>21</v>
      </c>
      <c r="X192" s="27" t="s">
        <v>22</v>
      </c>
      <c r="Y192" s="27" t="s">
        <v>23</v>
      </c>
      <c r="Z192" s="27" t="s">
        <v>24</v>
      </c>
      <c r="AA192" s="27" t="s">
        <v>25</v>
      </c>
      <c r="AB192" s="27" t="s">
        <v>26</v>
      </c>
      <c r="AC192" s="27" t="s">
        <v>27</v>
      </c>
      <c r="AD192" s="27" t="s">
        <v>28</v>
      </c>
      <c r="AE192" s="27" t="s">
        <v>29</v>
      </c>
      <c r="AF192" s="27" t="s">
        <v>30</v>
      </c>
      <c r="AG192" s="38" t="s">
        <v>47</v>
      </c>
      <c r="AH192" s="7"/>
    </row>
    <row r="193" spans="1:34" s="1" customFormat="1" ht="15.5" x14ac:dyDescent="0.35">
      <c r="A193" s="76" t="s">
        <v>55</v>
      </c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34">
        <f>COUNTA(Dec[[#This Row],[1]:[31]])</f>
        <v>0</v>
      </c>
      <c r="AH193" s="2"/>
    </row>
    <row r="194" spans="1:34" s="1" customFormat="1" ht="15.5" x14ac:dyDescent="0.35">
      <c r="A194" s="76" t="s">
        <v>56</v>
      </c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34">
        <f>COUNTA(Dec[[#This Row],[1]:[31]])</f>
        <v>0</v>
      </c>
      <c r="AH194" s="2"/>
    </row>
    <row r="195" spans="1:34" s="1" customFormat="1" ht="15.5" x14ac:dyDescent="0.35">
      <c r="A195" s="77" t="s">
        <v>49</v>
      </c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47">
        <f>COUNTA(Dec[[#This Row],[1]:[31]])</f>
        <v>0</v>
      </c>
      <c r="AH195" s="2"/>
    </row>
    <row r="196" spans="1:34" s="1" customFormat="1" ht="15.5" x14ac:dyDescent="0.35">
      <c r="A196" s="77" t="s">
        <v>57</v>
      </c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47">
        <f>COUNTA(Dec[[#This Row],[1]:[31]])</f>
        <v>0</v>
      </c>
      <c r="AH196" s="2"/>
    </row>
    <row r="197" spans="1:34" s="1" customFormat="1" ht="15.5" x14ac:dyDescent="0.35">
      <c r="A197" s="76" t="s">
        <v>58</v>
      </c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34">
        <f>COUNTA(Dec[[#This Row],[1]:[31]])</f>
        <v>0</v>
      </c>
      <c r="AH197" s="2"/>
    </row>
    <row r="198" spans="1:34" ht="14.5" x14ac:dyDescent="0.25">
      <c r="A198" s="79" t="str">
        <f>A190 &amp; " Total"</f>
        <v>December Summary Total</v>
      </c>
      <c r="B198" s="46">
        <f>SUBTOTAL(103,Dec[1])</f>
        <v>0</v>
      </c>
      <c r="C198" s="46">
        <f>SUBTOTAL(103,Dec[2])</f>
        <v>0</v>
      </c>
      <c r="D198" s="46">
        <f>SUBTOTAL(103,Dec[3])</f>
        <v>0</v>
      </c>
      <c r="E198" s="46">
        <f>SUBTOTAL(103,Dec[4])</f>
        <v>0</v>
      </c>
      <c r="F198" s="46">
        <f>SUBTOTAL(103,Dec[5])</f>
        <v>0</v>
      </c>
      <c r="G198" s="46">
        <f>SUBTOTAL(103,Dec[6])</f>
        <v>0</v>
      </c>
      <c r="H198" s="46">
        <f>SUBTOTAL(103,Dec[7])</f>
        <v>0</v>
      </c>
      <c r="I198" s="46">
        <f>SUBTOTAL(103,Dec[8])</f>
        <v>0</v>
      </c>
      <c r="J198" s="46">
        <f>SUBTOTAL(103,Dec[9])</f>
        <v>0</v>
      </c>
      <c r="K198" s="46">
        <f>SUBTOTAL(103,Dec[10])</f>
        <v>0</v>
      </c>
      <c r="L198" s="46">
        <f>SUBTOTAL(103,Dec[11])</f>
        <v>0</v>
      </c>
      <c r="M198" s="46">
        <f>SUBTOTAL(103,Dec[12])</f>
        <v>0</v>
      </c>
      <c r="N198" s="46">
        <f>SUBTOTAL(103,Dec[13])</f>
        <v>0</v>
      </c>
      <c r="O198" s="46">
        <f>SUBTOTAL(103,Dec[14])</f>
        <v>0</v>
      </c>
      <c r="P198" s="46">
        <f>SUBTOTAL(103,Dec[15])</f>
        <v>0</v>
      </c>
      <c r="Q198" s="46">
        <f>SUBTOTAL(103,Dec[16])</f>
        <v>0</v>
      </c>
      <c r="R198" s="46">
        <f>SUBTOTAL(103,Dec[17])</f>
        <v>0</v>
      </c>
      <c r="S198" s="46">
        <f>SUBTOTAL(103,Dec[18])</f>
        <v>0</v>
      </c>
      <c r="T198" s="46">
        <f>SUBTOTAL(103,Dec[19])</f>
        <v>0</v>
      </c>
      <c r="U198" s="46">
        <f>SUBTOTAL(103,Dec[20])</f>
        <v>0</v>
      </c>
      <c r="V198" s="46">
        <f>SUBTOTAL(103,Dec[21])</f>
        <v>0</v>
      </c>
      <c r="W198" s="46">
        <f>SUBTOTAL(103,Dec[22])</f>
        <v>0</v>
      </c>
      <c r="X198" s="46">
        <f>SUBTOTAL(103,Dec[23])</f>
        <v>0</v>
      </c>
      <c r="Y198" s="46">
        <f>SUBTOTAL(103,Dec[24])</f>
        <v>0</v>
      </c>
      <c r="Z198" s="46">
        <f>SUBTOTAL(103,Dec[25])</f>
        <v>0</v>
      </c>
      <c r="AA198" s="46">
        <f>SUBTOTAL(103,Dec[26])</f>
        <v>0</v>
      </c>
      <c r="AB198" s="46">
        <f>SUBTOTAL(103,Dec[27])</f>
        <v>0</v>
      </c>
      <c r="AC198" s="46">
        <f>SUBTOTAL(103,Dec[28])</f>
        <v>0</v>
      </c>
      <c r="AD198" s="46">
        <f>SUBTOTAL(103,Dec[29])</f>
        <v>0</v>
      </c>
      <c r="AE198" s="46">
        <f>SUBTOTAL(103,Dec[30])</f>
        <v>0</v>
      </c>
      <c r="AF198" s="46">
        <f>SUBTOTAL(103,Dec[31])</f>
        <v>0</v>
      </c>
      <c r="AG198" s="47">
        <f>SUBTOTAL(109,Dec[Total Days Traveled])</f>
        <v>0</v>
      </c>
    </row>
    <row r="199" spans="1:34" customFormat="1" ht="14.5" x14ac:dyDescent="0.35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</row>
    <row r="200" spans="1:34" customFormat="1" ht="16" thickBot="1" x14ac:dyDescent="0.4">
      <c r="A200" s="80"/>
      <c r="B200" s="39" t="s">
        <v>31</v>
      </c>
      <c r="C200" s="40"/>
      <c r="D200" s="41"/>
      <c r="E200" s="32"/>
      <c r="F200" s="32"/>
      <c r="G200" s="17" t="s">
        <v>52</v>
      </c>
      <c r="H200" s="73" t="s">
        <v>39</v>
      </c>
      <c r="I200" s="37"/>
      <c r="J200" s="37"/>
      <c r="K200" s="13" t="s">
        <v>51</v>
      </c>
      <c r="L200" s="73" t="s">
        <v>40</v>
      </c>
      <c r="M200" s="37"/>
      <c r="N200" s="37"/>
      <c r="O200" s="14" t="s">
        <v>42</v>
      </c>
      <c r="P200" s="73" t="s">
        <v>41</v>
      </c>
      <c r="Q200" s="37"/>
      <c r="R200" s="37"/>
      <c r="S200" s="15" t="s">
        <v>44</v>
      </c>
      <c r="T200" s="73" t="s">
        <v>43</v>
      </c>
      <c r="U200" s="36"/>
      <c r="V200" s="37"/>
      <c r="W200" s="16" t="s">
        <v>45</v>
      </c>
      <c r="X200" s="24" t="s">
        <v>46</v>
      </c>
      <c r="Y200" s="25"/>
      <c r="Z200" s="26"/>
      <c r="AA200" s="74"/>
      <c r="AB200" s="74"/>
      <c r="AC200" s="74"/>
      <c r="AD200" s="74"/>
      <c r="AE200" s="74"/>
      <c r="AF200" s="10"/>
      <c r="AG200" s="9"/>
    </row>
    <row r="201" spans="1:34" customFormat="1" ht="15" customHeight="1" x14ac:dyDescent="0.35">
      <c r="A201" s="81"/>
    </row>
    <row r="202" spans="1:34" customFormat="1" ht="15" customHeight="1" x14ac:dyDescent="0.35">
      <c r="A202" s="81"/>
    </row>
    <row r="203" spans="1:34" customFormat="1" ht="15" customHeight="1" x14ac:dyDescent="0.35">
      <c r="A203" s="81"/>
    </row>
    <row r="204" spans="1:34" customFormat="1" ht="15" customHeight="1" x14ac:dyDescent="0.35">
      <c r="A204" s="81"/>
    </row>
    <row r="205" spans="1:34" customFormat="1" ht="15" customHeight="1" x14ac:dyDescent="0.35">
      <c r="A205" s="81"/>
    </row>
    <row r="206" spans="1:34" customFormat="1" ht="15" customHeight="1" x14ac:dyDescent="0.35">
      <c r="A206" s="81"/>
    </row>
    <row r="207" spans="1:34" customFormat="1" ht="15" customHeight="1" x14ac:dyDescent="0.35">
      <c r="A207" s="81"/>
    </row>
    <row r="208" spans="1:34" customFormat="1" ht="15" customHeight="1" x14ac:dyDescent="0.35">
      <c r="A208" s="81"/>
    </row>
    <row r="209" spans="1:1" customFormat="1" ht="15" customHeight="1" x14ac:dyDescent="0.35">
      <c r="A209" s="81"/>
    </row>
    <row r="210" spans="1:1" customFormat="1" ht="15" customHeight="1" x14ac:dyDescent="0.35">
      <c r="A210" s="81"/>
    </row>
    <row r="211" spans="1:1" customFormat="1" ht="15" customHeight="1" x14ac:dyDescent="0.35">
      <c r="A211" s="81"/>
    </row>
    <row r="212" spans="1:1" customFormat="1" ht="15" customHeight="1" x14ac:dyDescent="0.35">
      <c r="A212" s="81"/>
    </row>
    <row r="213" spans="1:1" customFormat="1" ht="15" customHeight="1" x14ac:dyDescent="0.35">
      <c r="A213" s="81"/>
    </row>
    <row r="214" spans="1:1" customFormat="1" ht="15" customHeight="1" x14ac:dyDescent="0.35">
      <c r="A214" s="81"/>
    </row>
    <row r="215" spans="1:1" customFormat="1" ht="15" customHeight="1" x14ac:dyDescent="0.35">
      <c r="A215" s="81"/>
    </row>
    <row r="216" spans="1:1" customFormat="1" ht="15" customHeight="1" x14ac:dyDescent="0.35">
      <c r="A216" s="81"/>
    </row>
    <row r="217" spans="1:1" customFormat="1" ht="15" customHeight="1" x14ac:dyDescent="0.35">
      <c r="A217" s="81"/>
    </row>
    <row r="218" spans="1:1" customFormat="1" ht="15" customHeight="1" x14ac:dyDescent="0.35">
      <c r="A218" s="81"/>
    </row>
    <row r="219" spans="1:1" customFormat="1" ht="15" customHeight="1" x14ac:dyDescent="0.35">
      <c r="A219" s="81"/>
    </row>
    <row r="220" spans="1:1" customFormat="1" ht="15" customHeight="1" x14ac:dyDescent="0.35">
      <c r="A220" s="81"/>
    </row>
    <row r="221" spans="1:1" customFormat="1" ht="15" customHeight="1" x14ac:dyDescent="0.35">
      <c r="A221" s="81"/>
    </row>
    <row r="222" spans="1:1" customFormat="1" ht="15" customHeight="1" x14ac:dyDescent="0.35">
      <c r="A222" s="81"/>
    </row>
    <row r="223" spans="1:1" customFormat="1" ht="15" customHeight="1" x14ac:dyDescent="0.35">
      <c r="A223" s="81"/>
    </row>
    <row r="224" spans="1:1" customFormat="1" ht="15" customHeight="1" x14ac:dyDescent="0.35">
      <c r="A224" s="81"/>
    </row>
    <row r="225" spans="1:1" customFormat="1" ht="15" customHeight="1" x14ac:dyDescent="0.35">
      <c r="A225" s="81"/>
    </row>
    <row r="226" spans="1:1" customFormat="1" ht="15" customHeight="1" x14ac:dyDescent="0.35">
      <c r="A226" s="81"/>
    </row>
    <row r="227" spans="1:1" customFormat="1" ht="15" customHeight="1" x14ac:dyDescent="0.35">
      <c r="A227" s="81"/>
    </row>
    <row r="228" spans="1:1" customFormat="1" ht="15" customHeight="1" x14ac:dyDescent="0.35">
      <c r="A228" s="81"/>
    </row>
    <row r="229" spans="1:1" customFormat="1" ht="15" customHeight="1" x14ac:dyDescent="0.35">
      <c r="A229" s="81"/>
    </row>
    <row r="230" spans="1:1" customFormat="1" ht="15" customHeight="1" x14ac:dyDescent="0.35">
      <c r="A230" s="81"/>
    </row>
    <row r="231" spans="1:1" customFormat="1" ht="15" customHeight="1" x14ac:dyDescent="0.35">
      <c r="A231" s="81"/>
    </row>
    <row r="232" spans="1:1" customFormat="1" ht="15" customHeight="1" x14ac:dyDescent="0.35">
      <c r="A232" s="81"/>
    </row>
    <row r="233" spans="1:1" customFormat="1" ht="15" customHeight="1" x14ac:dyDescent="0.35">
      <c r="A233" s="81"/>
    </row>
    <row r="234" spans="1:1" customFormat="1" ht="15" customHeight="1" x14ac:dyDescent="0.35">
      <c r="A234" s="81"/>
    </row>
    <row r="235" spans="1:1" customFormat="1" ht="15" customHeight="1" x14ac:dyDescent="0.35">
      <c r="A235" s="81"/>
    </row>
    <row r="236" spans="1:1" customFormat="1" ht="15" customHeight="1" x14ac:dyDescent="0.35">
      <c r="A236" s="81"/>
    </row>
    <row r="237" spans="1:1" customFormat="1" ht="15" customHeight="1" x14ac:dyDescent="0.35">
      <c r="A237" s="81"/>
    </row>
    <row r="238" spans="1:1" customFormat="1" ht="15" customHeight="1" x14ac:dyDescent="0.35">
      <c r="A238" s="81"/>
    </row>
    <row r="239" spans="1:1" customFormat="1" ht="15" customHeight="1" x14ac:dyDescent="0.35">
      <c r="A239" s="81"/>
    </row>
    <row r="240" spans="1:1" customFormat="1" ht="15" customHeight="1" x14ac:dyDescent="0.35">
      <c r="A240" s="81"/>
    </row>
    <row r="241" spans="1:1" customFormat="1" ht="15" customHeight="1" x14ac:dyDescent="0.35">
      <c r="A241" s="81"/>
    </row>
    <row r="242" spans="1:1" customFormat="1" ht="15" customHeight="1" x14ac:dyDescent="0.35">
      <c r="A242" s="81"/>
    </row>
    <row r="243" spans="1:1" customFormat="1" ht="15" customHeight="1" x14ac:dyDescent="0.35">
      <c r="A243" s="81"/>
    </row>
    <row r="244" spans="1:1" customFormat="1" ht="15" customHeight="1" x14ac:dyDescent="0.35">
      <c r="A244" s="81"/>
    </row>
    <row r="245" spans="1:1" customFormat="1" ht="15" customHeight="1" x14ac:dyDescent="0.35">
      <c r="A245" s="81"/>
    </row>
    <row r="246" spans="1:1" customFormat="1" ht="15" customHeight="1" x14ac:dyDescent="0.35">
      <c r="A246" s="81"/>
    </row>
    <row r="247" spans="1:1" customFormat="1" ht="15" customHeight="1" x14ac:dyDescent="0.35">
      <c r="A247" s="81"/>
    </row>
    <row r="248" spans="1:1" customFormat="1" ht="15" customHeight="1" x14ac:dyDescent="0.35">
      <c r="A248" s="81"/>
    </row>
    <row r="249" spans="1:1" customFormat="1" ht="15" customHeight="1" x14ac:dyDescent="0.35">
      <c r="A249" s="81"/>
    </row>
    <row r="250" spans="1:1" customFormat="1" ht="15" customHeight="1" x14ac:dyDescent="0.35">
      <c r="A250" s="81"/>
    </row>
    <row r="251" spans="1:1" customFormat="1" ht="15" customHeight="1" x14ac:dyDescent="0.35">
      <c r="A251" s="81"/>
    </row>
    <row r="252" spans="1:1" customFormat="1" ht="15" customHeight="1" x14ac:dyDescent="0.35">
      <c r="A252" s="81"/>
    </row>
    <row r="253" spans="1:1" customFormat="1" ht="15" customHeight="1" x14ac:dyDescent="0.35">
      <c r="A253" s="81"/>
    </row>
    <row r="254" spans="1:1" customFormat="1" ht="15" customHeight="1" x14ac:dyDescent="0.35">
      <c r="A254" s="81"/>
    </row>
    <row r="255" spans="1:1" customFormat="1" ht="15" customHeight="1" x14ac:dyDescent="0.35">
      <c r="A255" s="81"/>
    </row>
    <row r="256" spans="1:1" customFormat="1" ht="15" customHeight="1" x14ac:dyDescent="0.35">
      <c r="A256" s="81"/>
    </row>
    <row r="257" spans="1:1" customFormat="1" ht="15" customHeight="1" x14ac:dyDescent="0.35">
      <c r="A257" s="81"/>
    </row>
    <row r="258" spans="1:1" customFormat="1" ht="15" customHeight="1" x14ac:dyDescent="0.35">
      <c r="A258" s="81"/>
    </row>
    <row r="259" spans="1:1" customFormat="1" ht="15" customHeight="1" x14ac:dyDescent="0.35">
      <c r="A259" s="81"/>
    </row>
    <row r="260" spans="1:1" customFormat="1" ht="15" customHeight="1" x14ac:dyDescent="0.35">
      <c r="A260" s="81"/>
    </row>
    <row r="261" spans="1:1" customFormat="1" ht="15" customHeight="1" x14ac:dyDescent="0.35">
      <c r="A261" s="81"/>
    </row>
    <row r="262" spans="1:1" customFormat="1" ht="15" customHeight="1" x14ac:dyDescent="0.35">
      <c r="A262" s="81"/>
    </row>
    <row r="263" spans="1:1" customFormat="1" ht="15" customHeight="1" x14ac:dyDescent="0.35">
      <c r="A263" s="81"/>
    </row>
    <row r="264" spans="1:1" customFormat="1" ht="15" customHeight="1" x14ac:dyDescent="0.35">
      <c r="A264" s="81"/>
    </row>
    <row r="265" spans="1:1" customFormat="1" ht="15" customHeight="1" x14ac:dyDescent="0.35">
      <c r="A265" s="81"/>
    </row>
    <row r="266" spans="1:1" customFormat="1" ht="15" customHeight="1" x14ac:dyDescent="0.35">
      <c r="A266" s="81"/>
    </row>
    <row r="267" spans="1:1" customFormat="1" ht="15" customHeight="1" x14ac:dyDescent="0.35">
      <c r="A267" s="81"/>
    </row>
    <row r="268" spans="1:1" customFormat="1" ht="15" customHeight="1" x14ac:dyDescent="0.35">
      <c r="A268" s="81"/>
    </row>
    <row r="269" spans="1:1" customFormat="1" ht="15" customHeight="1" x14ac:dyDescent="0.35">
      <c r="A269" s="81"/>
    </row>
    <row r="270" spans="1:1" customFormat="1" ht="15" customHeight="1" x14ac:dyDescent="0.35">
      <c r="A270" s="81"/>
    </row>
    <row r="271" spans="1:1" customFormat="1" ht="15" customHeight="1" x14ac:dyDescent="0.35">
      <c r="A271" s="81"/>
    </row>
    <row r="272" spans="1:1" customFormat="1" ht="15" customHeight="1" x14ac:dyDescent="0.35">
      <c r="A272" s="81"/>
    </row>
    <row r="273" spans="1:1" customFormat="1" ht="15" customHeight="1" x14ac:dyDescent="0.35">
      <c r="A273" s="81"/>
    </row>
    <row r="274" spans="1:1" customFormat="1" ht="15" customHeight="1" x14ac:dyDescent="0.35">
      <c r="A274" s="81"/>
    </row>
    <row r="275" spans="1:1" customFormat="1" ht="15" customHeight="1" x14ac:dyDescent="0.35">
      <c r="A275" s="81"/>
    </row>
    <row r="276" spans="1:1" customFormat="1" ht="15" customHeight="1" x14ac:dyDescent="0.35">
      <c r="A276" s="81"/>
    </row>
    <row r="277" spans="1:1" customFormat="1" ht="15" customHeight="1" x14ac:dyDescent="0.35">
      <c r="A277" s="81"/>
    </row>
    <row r="278" spans="1:1" customFormat="1" ht="15" customHeight="1" x14ac:dyDescent="0.35">
      <c r="A278" s="81"/>
    </row>
    <row r="279" spans="1:1" customFormat="1" ht="15" customHeight="1" x14ac:dyDescent="0.35">
      <c r="A279" s="81"/>
    </row>
    <row r="280" spans="1:1" customFormat="1" ht="15" customHeight="1" x14ac:dyDescent="0.35">
      <c r="A280" s="81"/>
    </row>
    <row r="281" spans="1:1" customFormat="1" ht="15" customHeight="1" x14ac:dyDescent="0.35">
      <c r="A281" s="81"/>
    </row>
    <row r="282" spans="1:1" customFormat="1" ht="15" customHeight="1" x14ac:dyDescent="0.35">
      <c r="A282" s="81"/>
    </row>
    <row r="283" spans="1:1" customFormat="1" ht="15" customHeight="1" x14ac:dyDescent="0.35">
      <c r="A283" s="81"/>
    </row>
    <row r="284" spans="1:1" customFormat="1" ht="15" customHeight="1" x14ac:dyDescent="0.35">
      <c r="A284" s="81"/>
    </row>
    <row r="285" spans="1:1" customFormat="1" ht="15" customHeight="1" x14ac:dyDescent="0.35">
      <c r="A285" s="81"/>
    </row>
    <row r="286" spans="1:1" customFormat="1" ht="15" customHeight="1" x14ac:dyDescent="0.35">
      <c r="A286" s="81"/>
    </row>
    <row r="287" spans="1:1" customFormat="1" ht="15" customHeight="1" x14ac:dyDescent="0.35">
      <c r="A287" s="81"/>
    </row>
    <row r="288" spans="1:1" customFormat="1" ht="15" customHeight="1" x14ac:dyDescent="0.35">
      <c r="A288" s="81"/>
    </row>
    <row r="289" spans="1:1" customFormat="1" ht="15" customHeight="1" x14ac:dyDescent="0.35">
      <c r="A289" s="81"/>
    </row>
    <row r="290" spans="1:1" customFormat="1" ht="15" customHeight="1" x14ac:dyDescent="0.35">
      <c r="A290" s="81"/>
    </row>
    <row r="291" spans="1:1" customFormat="1" ht="15" customHeight="1" x14ac:dyDescent="0.35">
      <c r="A291" s="81"/>
    </row>
    <row r="292" spans="1:1" customFormat="1" ht="15" customHeight="1" x14ac:dyDescent="0.35">
      <c r="A292" s="81"/>
    </row>
    <row r="293" spans="1:1" customFormat="1" ht="15" customHeight="1" x14ac:dyDescent="0.35">
      <c r="A293" s="81"/>
    </row>
    <row r="294" spans="1:1" customFormat="1" ht="15" customHeight="1" x14ac:dyDescent="0.35">
      <c r="A294" s="81"/>
    </row>
    <row r="295" spans="1:1" customFormat="1" ht="15" customHeight="1" x14ac:dyDescent="0.35">
      <c r="A295" s="81"/>
    </row>
    <row r="296" spans="1:1" customFormat="1" ht="15" customHeight="1" x14ac:dyDescent="0.35">
      <c r="A296" s="81"/>
    </row>
    <row r="297" spans="1:1" customFormat="1" ht="15" customHeight="1" x14ac:dyDescent="0.35">
      <c r="A297" s="81"/>
    </row>
    <row r="298" spans="1:1" customFormat="1" ht="15" customHeight="1" x14ac:dyDescent="0.35">
      <c r="A298" s="81"/>
    </row>
    <row r="299" spans="1:1" customFormat="1" ht="15" customHeight="1" x14ac:dyDescent="0.35">
      <c r="A299" s="81"/>
    </row>
    <row r="300" spans="1:1" customFormat="1" ht="15" customHeight="1" x14ac:dyDescent="0.35">
      <c r="A300" s="81"/>
    </row>
    <row r="301" spans="1:1" customFormat="1" ht="15" customHeight="1" x14ac:dyDescent="0.35">
      <c r="A301" s="81"/>
    </row>
    <row r="302" spans="1:1" customFormat="1" ht="15" customHeight="1" x14ac:dyDescent="0.35">
      <c r="A302" s="81"/>
    </row>
    <row r="303" spans="1:1" customFormat="1" ht="15" customHeight="1" x14ac:dyDescent="0.35">
      <c r="A303" s="81"/>
    </row>
    <row r="304" spans="1:1" customFormat="1" ht="15" customHeight="1" x14ac:dyDescent="0.35">
      <c r="A304" s="81"/>
    </row>
    <row r="305" spans="1:1" customFormat="1" ht="15" customHeight="1" x14ac:dyDescent="0.35">
      <c r="A305" s="81"/>
    </row>
    <row r="306" spans="1:1" customFormat="1" ht="15" customHeight="1" x14ac:dyDescent="0.35">
      <c r="A306" s="81"/>
    </row>
    <row r="307" spans="1:1" customFormat="1" ht="15" customHeight="1" x14ac:dyDescent="0.35">
      <c r="A307" s="81"/>
    </row>
    <row r="308" spans="1:1" customFormat="1" ht="15" customHeight="1" x14ac:dyDescent="0.35">
      <c r="A308" s="81"/>
    </row>
    <row r="309" spans="1:1" customFormat="1" ht="15" customHeight="1" x14ac:dyDescent="0.35">
      <c r="A309" s="81"/>
    </row>
    <row r="310" spans="1:1" customFormat="1" ht="15" customHeight="1" x14ac:dyDescent="0.35">
      <c r="A310" s="81"/>
    </row>
    <row r="311" spans="1:1" customFormat="1" ht="15" customHeight="1" x14ac:dyDescent="0.35">
      <c r="A311" s="81"/>
    </row>
    <row r="312" spans="1:1" customFormat="1" ht="15" customHeight="1" x14ac:dyDescent="0.35">
      <c r="A312" s="81"/>
    </row>
    <row r="313" spans="1:1" customFormat="1" ht="15" customHeight="1" x14ac:dyDescent="0.35">
      <c r="A313" s="81"/>
    </row>
    <row r="314" spans="1:1" customFormat="1" ht="15" customHeight="1" x14ac:dyDescent="0.35">
      <c r="A314" s="81"/>
    </row>
    <row r="315" spans="1:1" customFormat="1" ht="15" customHeight="1" x14ac:dyDescent="0.35">
      <c r="A315" s="81"/>
    </row>
    <row r="316" spans="1:1" customFormat="1" ht="15" customHeight="1" x14ac:dyDescent="0.35">
      <c r="A316" s="81"/>
    </row>
    <row r="317" spans="1:1" customFormat="1" ht="15" customHeight="1" x14ac:dyDescent="0.35">
      <c r="A317" s="81"/>
    </row>
    <row r="318" spans="1:1" customFormat="1" ht="15" customHeight="1" x14ac:dyDescent="0.35">
      <c r="A318" s="81"/>
    </row>
    <row r="319" spans="1:1" customFormat="1" ht="15" customHeight="1" x14ac:dyDescent="0.35">
      <c r="A319" s="81"/>
    </row>
    <row r="320" spans="1:1" customFormat="1" ht="15" customHeight="1" x14ac:dyDescent="0.35">
      <c r="A320" s="81"/>
    </row>
    <row r="321" spans="1:1" customFormat="1" ht="15" customHeight="1" x14ac:dyDescent="0.35">
      <c r="A321" s="81"/>
    </row>
    <row r="322" spans="1:1" customFormat="1" ht="15" customHeight="1" x14ac:dyDescent="0.35">
      <c r="A322" s="81"/>
    </row>
    <row r="323" spans="1:1" customFormat="1" ht="15" customHeight="1" x14ac:dyDescent="0.35">
      <c r="A323" s="81"/>
    </row>
    <row r="324" spans="1:1" customFormat="1" ht="15" customHeight="1" x14ac:dyDescent="0.35">
      <c r="A324" s="81"/>
    </row>
    <row r="325" spans="1:1" customFormat="1" ht="15" customHeight="1" x14ac:dyDescent="0.35">
      <c r="A325" s="81"/>
    </row>
    <row r="326" spans="1:1" customFormat="1" ht="15" customHeight="1" x14ac:dyDescent="0.35">
      <c r="A326" s="81"/>
    </row>
    <row r="327" spans="1:1" customFormat="1" ht="15" customHeight="1" x14ac:dyDescent="0.35">
      <c r="A327" s="81"/>
    </row>
    <row r="328" spans="1:1" customFormat="1" ht="15" customHeight="1" x14ac:dyDescent="0.35">
      <c r="A328" s="81"/>
    </row>
    <row r="329" spans="1:1" customFormat="1" ht="15" customHeight="1" x14ac:dyDescent="0.35">
      <c r="A329" s="81"/>
    </row>
    <row r="330" spans="1:1" customFormat="1" ht="15" customHeight="1" x14ac:dyDescent="0.35">
      <c r="A330" s="81"/>
    </row>
    <row r="331" spans="1:1" customFormat="1" ht="15" customHeight="1" x14ac:dyDescent="0.35">
      <c r="A331" s="81"/>
    </row>
    <row r="332" spans="1:1" customFormat="1" ht="15" customHeight="1" x14ac:dyDescent="0.35">
      <c r="A332" s="81"/>
    </row>
    <row r="333" spans="1:1" customFormat="1" ht="15" customHeight="1" x14ac:dyDescent="0.35">
      <c r="A333" s="81"/>
    </row>
    <row r="334" spans="1:1" customFormat="1" ht="15" customHeight="1" x14ac:dyDescent="0.35">
      <c r="A334" s="81"/>
    </row>
    <row r="335" spans="1:1" customFormat="1" ht="15" customHeight="1" x14ac:dyDescent="0.35">
      <c r="A335" s="81"/>
    </row>
    <row r="336" spans="1:1" customFormat="1" ht="15" customHeight="1" x14ac:dyDescent="0.35">
      <c r="A336" s="81"/>
    </row>
    <row r="337" spans="1:1" customFormat="1" ht="15" customHeight="1" x14ac:dyDescent="0.35">
      <c r="A337" s="81"/>
    </row>
    <row r="338" spans="1:1" customFormat="1" ht="15" customHeight="1" x14ac:dyDescent="0.35">
      <c r="A338" s="81"/>
    </row>
    <row r="339" spans="1:1" customFormat="1" ht="15" customHeight="1" x14ac:dyDescent="0.35">
      <c r="A339" s="81"/>
    </row>
    <row r="340" spans="1:1" customFormat="1" ht="15" customHeight="1" x14ac:dyDescent="0.35">
      <c r="A340" s="81"/>
    </row>
    <row r="341" spans="1:1" customFormat="1" ht="15" customHeight="1" x14ac:dyDescent="0.35">
      <c r="A341" s="81"/>
    </row>
    <row r="342" spans="1:1" customFormat="1" ht="15" customHeight="1" x14ac:dyDescent="0.35">
      <c r="A342" s="81"/>
    </row>
    <row r="343" spans="1:1" customFormat="1" ht="15" customHeight="1" x14ac:dyDescent="0.35">
      <c r="A343" s="81"/>
    </row>
    <row r="344" spans="1:1" customFormat="1" ht="15" customHeight="1" x14ac:dyDescent="0.35">
      <c r="A344" s="81"/>
    </row>
    <row r="345" spans="1:1" customFormat="1" ht="15" customHeight="1" x14ac:dyDescent="0.35">
      <c r="A345" s="81"/>
    </row>
    <row r="346" spans="1:1" customFormat="1" ht="15" customHeight="1" x14ac:dyDescent="0.35">
      <c r="A346" s="81"/>
    </row>
    <row r="347" spans="1:1" customFormat="1" ht="15" customHeight="1" x14ac:dyDescent="0.35">
      <c r="A347" s="81"/>
    </row>
    <row r="348" spans="1:1" customFormat="1" ht="15" customHeight="1" x14ac:dyDescent="0.35">
      <c r="A348" s="81"/>
    </row>
    <row r="349" spans="1:1" customFormat="1" ht="15" customHeight="1" x14ac:dyDescent="0.35">
      <c r="A349" s="81"/>
    </row>
    <row r="350" spans="1:1" customFormat="1" ht="15" customHeight="1" x14ac:dyDescent="0.35">
      <c r="A350" s="81"/>
    </row>
    <row r="351" spans="1:1" customFormat="1" ht="15" customHeight="1" x14ac:dyDescent="0.35">
      <c r="A351" s="81"/>
    </row>
    <row r="352" spans="1:1" customFormat="1" ht="15" customHeight="1" x14ac:dyDescent="0.35">
      <c r="A352" s="81"/>
    </row>
    <row r="353" spans="1:1" customFormat="1" ht="15" customHeight="1" x14ac:dyDescent="0.35">
      <c r="A353" s="81"/>
    </row>
    <row r="354" spans="1:1" customFormat="1" ht="15" customHeight="1" x14ac:dyDescent="0.35">
      <c r="A354" s="81"/>
    </row>
    <row r="355" spans="1:1" customFormat="1" ht="15" customHeight="1" x14ac:dyDescent="0.35">
      <c r="A355" s="81"/>
    </row>
    <row r="356" spans="1:1" customFormat="1" ht="15" customHeight="1" x14ac:dyDescent="0.35">
      <c r="A356" s="81"/>
    </row>
    <row r="357" spans="1:1" customFormat="1" ht="15" customHeight="1" x14ac:dyDescent="0.35">
      <c r="A357" s="81"/>
    </row>
    <row r="358" spans="1:1" customFormat="1" ht="15" customHeight="1" x14ac:dyDescent="0.35">
      <c r="A358" s="81"/>
    </row>
    <row r="359" spans="1:1" customFormat="1" ht="15" customHeight="1" x14ac:dyDescent="0.35">
      <c r="A359" s="81"/>
    </row>
    <row r="360" spans="1:1" customFormat="1" ht="15" customHeight="1" x14ac:dyDescent="0.35">
      <c r="A360" s="81"/>
    </row>
    <row r="361" spans="1:1" customFormat="1" ht="15" customHeight="1" x14ac:dyDescent="0.35">
      <c r="A361" s="81"/>
    </row>
    <row r="362" spans="1:1" customFormat="1" ht="15" customHeight="1" x14ac:dyDescent="0.35">
      <c r="A362" s="81"/>
    </row>
    <row r="363" spans="1:1" customFormat="1" ht="15" customHeight="1" x14ac:dyDescent="0.35">
      <c r="A363" s="81"/>
    </row>
    <row r="364" spans="1:1" customFormat="1" ht="15" customHeight="1" x14ac:dyDescent="0.35">
      <c r="A364" s="81"/>
    </row>
    <row r="365" spans="1:1" customFormat="1" ht="15" customHeight="1" x14ac:dyDescent="0.35">
      <c r="A365" s="81"/>
    </row>
    <row r="366" spans="1:1" customFormat="1" ht="15" customHeight="1" x14ac:dyDescent="0.35">
      <c r="A366" s="81"/>
    </row>
    <row r="367" spans="1:1" customFormat="1" ht="15" customHeight="1" x14ac:dyDescent="0.35">
      <c r="A367" s="81"/>
    </row>
    <row r="368" spans="1:1" customFormat="1" ht="15" customHeight="1" x14ac:dyDescent="0.35">
      <c r="A368" s="81"/>
    </row>
    <row r="369" spans="1:1" customFormat="1" ht="15" customHeight="1" x14ac:dyDescent="0.35">
      <c r="A369" s="81"/>
    </row>
    <row r="370" spans="1:1" customFormat="1" ht="15" customHeight="1" x14ac:dyDescent="0.35">
      <c r="A370" s="81"/>
    </row>
    <row r="371" spans="1:1" customFormat="1" ht="15" customHeight="1" x14ac:dyDescent="0.35">
      <c r="A371" s="81"/>
    </row>
    <row r="372" spans="1:1" customFormat="1" ht="15" customHeight="1" x14ac:dyDescent="0.35">
      <c r="A372" s="81"/>
    </row>
    <row r="373" spans="1:1" customFormat="1" ht="15" customHeight="1" x14ac:dyDescent="0.35">
      <c r="A373" s="81"/>
    </row>
    <row r="374" spans="1:1" customFormat="1" ht="15" customHeight="1" x14ac:dyDescent="0.35">
      <c r="A374" s="81"/>
    </row>
    <row r="375" spans="1:1" customFormat="1" ht="15" customHeight="1" x14ac:dyDescent="0.35">
      <c r="A375" s="81"/>
    </row>
    <row r="376" spans="1:1" customFormat="1" ht="15" customHeight="1" x14ac:dyDescent="0.35">
      <c r="A376" s="81"/>
    </row>
    <row r="377" spans="1:1" customFormat="1" ht="15" customHeight="1" x14ac:dyDescent="0.35">
      <c r="A377" s="81"/>
    </row>
    <row r="378" spans="1:1" customFormat="1" ht="15" customHeight="1" x14ac:dyDescent="0.35">
      <c r="A378" s="81"/>
    </row>
    <row r="379" spans="1:1" customFormat="1" ht="15" customHeight="1" x14ac:dyDescent="0.35">
      <c r="A379" s="81"/>
    </row>
    <row r="380" spans="1:1" customFormat="1" ht="15" customHeight="1" x14ac:dyDescent="0.35">
      <c r="A380" s="81"/>
    </row>
    <row r="381" spans="1:1" customFormat="1" ht="15" customHeight="1" x14ac:dyDescent="0.35">
      <c r="A381" s="81"/>
    </row>
    <row r="382" spans="1:1" customFormat="1" ht="15" customHeight="1" x14ac:dyDescent="0.35">
      <c r="A382" s="81"/>
    </row>
    <row r="383" spans="1:1" customFormat="1" ht="15" customHeight="1" x14ac:dyDescent="0.35">
      <c r="A383" s="81"/>
    </row>
    <row r="384" spans="1:1" customFormat="1" ht="15" customHeight="1" x14ac:dyDescent="0.35">
      <c r="A384" s="81"/>
    </row>
    <row r="385" spans="1:1" customFormat="1" ht="15" customHeight="1" x14ac:dyDescent="0.35">
      <c r="A385" s="81"/>
    </row>
    <row r="386" spans="1:1" customFormat="1" ht="15" customHeight="1" x14ac:dyDescent="0.35">
      <c r="A386" s="81"/>
    </row>
    <row r="387" spans="1:1" customFormat="1" ht="15" customHeight="1" x14ac:dyDescent="0.35">
      <c r="A387" s="81"/>
    </row>
    <row r="388" spans="1:1" customFormat="1" ht="15" customHeight="1" x14ac:dyDescent="0.35">
      <c r="A388" s="81"/>
    </row>
    <row r="389" spans="1:1" customFormat="1" ht="15" customHeight="1" x14ac:dyDescent="0.35">
      <c r="A389" s="81"/>
    </row>
    <row r="390" spans="1:1" customFormat="1" ht="15" customHeight="1" x14ac:dyDescent="0.35">
      <c r="A390" s="81"/>
    </row>
    <row r="391" spans="1:1" customFormat="1" ht="15" customHeight="1" x14ac:dyDescent="0.35">
      <c r="A391" s="81"/>
    </row>
    <row r="392" spans="1:1" customFormat="1" ht="15" customHeight="1" x14ac:dyDescent="0.35">
      <c r="A392" s="81"/>
    </row>
    <row r="393" spans="1:1" customFormat="1" ht="15" customHeight="1" x14ac:dyDescent="0.35">
      <c r="A393" s="81"/>
    </row>
    <row r="394" spans="1:1" customFormat="1" ht="15" customHeight="1" x14ac:dyDescent="0.35">
      <c r="A394" s="81"/>
    </row>
    <row r="395" spans="1:1" customFormat="1" ht="15" customHeight="1" x14ac:dyDescent="0.35">
      <c r="A395" s="81"/>
    </row>
    <row r="396" spans="1:1" customFormat="1" ht="15" customHeight="1" x14ac:dyDescent="0.35">
      <c r="A396" s="81"/>
    </row>
    <row r="397" spans="1:1" customFormat="1" ht="15" customHeight="1" x14ac:dyDescent="0.35">
      <c r="A397" s="81"/>
    </row>
    <row r="398" spans="1:1" customFormat="1" ht="15" customHeight="1" x14ac:dyDescent="0.35">
      <c r="A398" s="81"/>
    </row>
    <row r="399" spans="1:1" customFormat="1" ht="15" customHeight="1" x14ac:dyDescent="0.35">
      <c r="A399" s="81"/>
    </row>
    <row r="400" spans="1:1" customFormat="1" ht="15" customHeight="1" x14ac:dyDescent="0.35">
      <c r="A400" s="81"/>
    </row>
    <row r="401" spans="1:1" customFormat="1" ht="15" customHeight="1" x14ac:dyDescent="0.35">
      <c r="A401" s="81"/>
    </row>
    <row r="402" spans="1:1" customFormat="1" ht="15" customHeight="1" x14ac:dyDescent="0.35">
      <c r="A402" s="81"/>
    </row>
    <row r="403" spans="1:1" customFormat="1" ht="15" customHeight="1" x14ac:dyDescent="0.35">
      <c r="A403" s="81"/>
    </row>
    <row r="404" spans="1:1" customFormat="1" ht="15" customHeight="1" x14ac:dyDescent="0.35">
      <c r="A404" s="81"/>
    </row>
    <row r="405" spans="1:1" customFormat="1" ht="15" customHeight="1" x14ac:dyDescent="0.35">
      <c r="A405" s="81"/>
    </row>
    <row r="406" spans="1:1" customFormat="1" ht="15" customHeight="1" x14ac:dyDescent="0.35">
      <c r="A406" s="81"/>
    </row>
    <row r="407" spans="1:1" customFormat="1" ht="15" customHeight="1" x14ac:dyDescent="0.35">
      <c r="A407" s="81"/>
    </row>
    <row r="408" spans="1:1" customFormat="1" ht="15" customHeight="1" x14ac:dyDescent="0.35">
      <c r="A408" s="81"/>
    </row>
    <row r="409" spans="1:1" customFormat="1" ht="15" customHeight="1" x14ac:dyDescent="0.35">
      <c r="A409" s="81"/>
    </row>
    <row r="410" spans="1:1" customFormat="1" ht="15" customHeight="1" x14ac:dyDescent="0.35">
      <c r="A410" s="81"/>
    </row>
    <row r="411" spans="1:1" customFormat="1" ht="15" customHeight="1" x14ac:dyDescent="0.35">
      <c r="A411" s="81"/>
    </row>
    <row r="412" spans="1:1" customFormat="1" ht="15" customHeight="1" x14ac:dyDescent="0.35">
      <c r="A412" s="81"/>
    </row>
    <row r="413" spans="1:1" customFormat="1" ht="15" customHeight="1" x14ac:dyDescent="0.35">
      <c r="A413" s="81"/>
    </row>
    <row r="414" spans="1:1" customFormat="1" ht="15" customHeight="1" x14ac:dyDescent="0.35">
      <c r="A414" s="81"/>
    </row>
    <row r="415" spans="1:1" customFormat="1" ht="15" customHeight="1" x14ac:dyDescent="0.35">
      <c r="A415" s="81"/>
    </row>
    <row r="416" spans="1:1" customFormat="1" ht="15" customHeight="1" x14ac:dyDescent="0.35">
      <c r="A416" s="81"/>
    </row>
    <row r="417" spans="1:1" customFormat="1" ht="15" customHeight="1" x14ac:dyDescent="0.35">
      <c r="A417" s="81"/>
    </row>
    <row r="418" spans="1:1" customFormat="1" ht="15" customHeight="1" x14ac:dyDescent="0.35">
      <c r="A418" s="81"/>
    </row>
    <row r="419" spans="1:1" customFormat="1" ht="15" customHeight="1" x14ac:dyDescent="0.35">
      <c r="A419" s="81"/>
    </row>
    <row r="420" spans="1:1" customFormat="1" ht="15" customHeight="1" x14ac:dyDescent="0.35">
      <c r="A420" s="81"/>
    </row>
    <row r="421" spans="1:1" customFormat="1" ht="15" customHeight="1" x14ac:dyDescent="0.35">
      <c r="A421" s="81"/>
    </row>
    <row r="422" spans="1:1" customFormat="1" ht="15" customHeight="1" x14ac:dyDescent="0.35">
      <c r="A422" s="81"/>
    </row>
    <row r="423" spans="1:1" customFormat="1" ht="15" customHeight="1" x14ac:dyDescent="0.35">
      <c r="A423" s="81"/>
    </row>
    <row r="424" spans="1:1" customFormat="1" ht="15" customHeight="1" x14ac:dyDescent="0.35">
      <c r="A424" s="81"/>
    </row>
    <row r="425" spans="1:1" customFormat="1" ht="15" customHeight="1" x14ac:dyDescent="0.35">
      <c r="A425" s="81"/>
    </row>
    <row r="426" spans="1:1" customFormat="1" ht="15" customHeight="1" x14ac:dyDescent="0.35">
      <c r="A426" s="81"/>
    </row>
    <row r="427" spans="1:1" customFormat="1" ht="15" customHeight="1" x14ac:dyDescent="0.35">
      <c r="A427" s="81"/>
    </row>
    <row r="428" spans="1:1" customFormat="1" ht="15" customHeight="1" x14ac:dyDescent="0.35">
      <c r="A428" s="81"/>
    </row>
    <row r="429" spans="1:1" customFormat="1" ht="15" customHeight="1" x14ac:dyDescent="0.35">
      <c r="A429" s="81"/>
    </row>
    <row r="430" spans="1:1" customFormat="1" ht="15" customHeight="1" x14ac:dyDescent="0.35">
      <c r="A430" s="81"/>
    </row>
    <row r="431" spans="1:1" customFormat="1" ht="15" customHeight="1" x14ac:dyDescent="0.35">
      <c r="A431" s="81"/>
    </row>
    <row r="432" spans="1:1" customFormat="1" ht="15" customHeight="1" x14ac:dyDescent="0.35">
      <c r="A432" s="81"/>
    </row>
    <row r="433" spans="1:1" customFormat="1" ht="15" customHeight="1" x14ac:dyDescent="0.35">
      <c r="A433" s="81"/>
    </row>
    <row r="434" spans="1:1" customFormat="1" ht="15" customHeight="1" x14ac:dyDescent="0.35">
      <c r="A434" s="81"/>
    </row>
    <row r="435" spans="1:1" customFormat="1" ht="15" customHeight="1" x14ac:dyDescent="0.35">
      <c r="A435" s="81"/>
    </row>
    <row r="436" spans="1:1" customFormat="1" ht="15" customHeight="1" x14ac:dyDescent="0.35">
      <c r="A436" s="81"/>
    </row>
    <row r="437" spans="1:1" customFormat="1" ht="15" customHeight="1" x14ac:dyDescent="0.35">
      <c r="A437" s="81"/>
    </row>
    <row r="438" spans="1:1" customFormat="1" ht="15" customHeight="1" x14ac:dyDescent="0.35">
      <c r="A438" s="81"/>
    </row>
    <row r="439" spans="1:1" customFormat="1" ht="15" customHeight="1" x14ac:dyDescent="0.35">
      <c r="A439" s="81"/>
    </row>
    <row r="440" spans="1:1" customFormat="1" ht="15" customHeight="1" x14ac:dyDescent="0.35">
      <c r="A440" s="81"/>
    </row>
    <row r="441" spans="1:1" customFormat="1" ht="15" customHeight="1" x14ac:dyDescent="0.35">
      <c r="A441" s="81"/>
    </row>
    <row r="442" spans="1:1" customFormat="1" ht="15" customHeight="1" x14ac:dyDescent="0.35">
      <c r="A442" s="81"/>
    </row>
    <row r="443" spans="1:1" customFormat="1" ht="15" customHeight="1" x14ac:dyDescent="0.35">
      <c r="A443" s="81"/>
    </row>
    <row r="444" spans="1:1" customFormat="1" ht="15" customHeight="1" x14ac:dyDescent="0.35">
      <c r="A444" s="81"/>
    </row>
    <row r="445" spans="1:1" customFormat="1" ht="15" customHeight="1" x14ac:dyDescent="0.35">
      <c r="A445" s="81"/>
    </row>
    <row r="446" spans="1:1" customFormat="1" ht="15" customHeight="1" x14ac:dyDescent="0.35">
      <c r="A446" s="81"/>
    </row>
    <row r="447" spans="1:1" customFormat="1" ht="15" customHeight="1" x14ac:dyDescent="0.35">
      <c r="A447" s="81"/>
    </row>
    <row r="448" spans="1:1" customFormat="1" ht="15" customHeight="1" x14ac:dyDescent="0.35">
      <c r="A448" s="81"/>
    </row>
    <row r="449" spans="1:1" customFormat="1" ht="15" customHeight="1" x14ac:dyDescent="0.35">
      <c r="A449" s="81"/>
    </row>
    <row r="450" spans="1:1" customFormat="1" ht="15" customHeight="1" x14ac:dyDescent="0.35">
      <c r="A450" s="81"/>
    </row>
    <row r="451" spans="1:1" customFormat="1" ht="15" customHeight="1" x14ac:dyDescent="0.35">
      <c r="A451" s="81"/>
    </row>
    <row r="452" spans="1:1" customFormat="1" ht="15" customHeight="1" x14ac:dyDescent="0.35">
      <c r="A452" s="81"/>
    </row>
    <row r="453" spans="1:1" customFormat="1" ht="15" customHeight="1" x14ac:dyDescent="0.35">
      <c r="A453" s="81"/>
    </row>
    <row r="454" spans="1:1" customFormat="1" ht="15" customHeight="1" x14ac:dyDescent="0.35">
      <c r="A454" s="81"/>
    </row>
    <row r="455" spans="1:1" customFormat="1" ht="15" customHeight="1" x14ac:dyDescent="0.35">
      <c r="A455" s="81"/>
    </row>
    <row r="456" spans="1:1" customFormat="1" ht="15" customHeight="1" x14ac:dyDescent="0.35">
      <c r="A456" s="81"/>
    </row>
    <row r="457" spans="1:1" customFormat="1" ht="15" customHeight="1" x14ac:dyDescent="0.35">
      <c r="A457" s="81"/>
    </row>
    <row r="458" spans="1:1" customFormat="1" ht="15" customHeight="1" x14ac:dyDescent="0.35">
      <c r="A458" s="81"/>
    </row>
    <row r="459" spans="1:1" customFormat="1" ht="15" customHeight="1" x14ac:dyDescent="0.35">
      <c r="A459" s="81"/>
    </row>
    <row r="460" spans="1:1" customFormat="1" ht="15" customHeight="1" x14ac:dyDescent="0.35">
      <c r="A460" s="81"/>
    </row>
    <row r="461" spans="1:1" customFormat="1" ht="15" customHeight="1" x14ac:dyDescent="0.35">
      <c r="A461" s="81"/>
    </row>
    <row r="462" spans="1:1" customFormat="1" ht="15" customHeight="1" x14ac:dyDescent="0.35">
      <c r="A462" s="81"/>
    </row>
    <row r="463" spans="1:1" customFormat="1" ht="15" customHeight="1" x14ac:dyDescent="0.35">
      <c r="A463" s="81"/>
    </row>
    <row r="464" spans="1:1" customFormat="1" ht="15" customHeight="1" x14ac:dyDescent="0.35">
      <c r="A464" s="81"/>
    </row>
    <row r="465" spans="1:1" customFormat="1" ht="15" customHeight="1" x14ac:dyDescent="0.35">
      <c r="A465" s="81"/>
    </row>
    <row r="466" spans="1:1" customFormat="1" ht="15" customHeight="1" x14ac:dyDescent="0.35">
      <c r="A466" s="81"/>
    </row>
    <row r="467" spans="1:1" customFormat="1" ht="15" customHeight="1" x14ac:dyDescent="0.35">
      <c r="A467" s="81"/>
    </row>
    <row r="468" spans="1:1" customFormat="1" ht="15" customHeight="1" x14ac:dyDescent="0.35">
      <c r="A468" s="81"/>
    </row>
    <row r="469" spans="1:1" customFormat="1" ht="15" customHeight="1" x14ac:dyDescent="0.35">
      <c r="A469" s="81"/>
    </row>
    <row r="470" spans="1:1" customFormat="1" ht="15" customHeight="1" x14ac:dyDescent="0.35">
      <c r="A470" s="81"/>
    </row>
    <row r="471" spans="1:1" customFormat="1" ht="15" customHeight="1" x14ac:dyDescent="0.35">
      <c r="A471" s="81"/>
    </row>
    <row r="472" spans="1:1" customFormat="1" ht="15" customHeight="1" x14ac:dyDescent="0.35">
      <c r="A472" s="81"/>
    </row>
    <row r="473" spans="1:1" customFormat="1" ht="15" customHeight="1" x14ac:dyDescent="0.35">
      <c r="A473" s="81"/>
    </row>
    <row r="474" spans="1:1" customFormat="1" ht="15" customHeight="1" x14ac:dyDescent="0.35">
      <c r="A474" s="81"/>
    </row>
    <row r="475" spans="1:1" customFormat="1" ht="15" customHeight="1" x14ac:dyDescent="0.35">
      <c r="A475" s="81"/>
    </row>
    <row r="476" spans="1:1" customFormat="1" ht="15" customHeight="1" x14ac:dyDescent="0.35">
      <c r="A476" s="81"/>
    </row>
    <row r="477" spans="1:1" customFormat="1" ht="15" customHeight="1" x14ac:dyDescent="0.35">
      <c r="A477" s="81"/>
    </row>
    <row r="478" spans="1:1" customFormat="1" ht="15" customHeight="1" x14ac:dyDescent="0.35">
      <c r="A478" s="81"/>
    </row>
    <row r="479" spans="1:1" customFormat="1" ht="15" customHeight="1" x14ac:dyDescent="0.35">
      <c r="A479" s="81"/>
    </row>
    <row r="480" spans="1:1" customFormat="1" ht="15" customHeight="1" x14ac:dyDescent="0.35">
      <c r="A480" s="81"/>
    </row>
    <row r="481" spans="1:1" customFormat="1" ht="15" customHeight="1" x14ac:dyDescent="0.35">
      <c r="A481" s="81"/>
    </row>
    <row r="482" spans="1:1" customFormat="1" ht="15" customHeight="1" x14ac:dyDescent="0.35">
      <c r="A482" s="81"/>
    </row>
    <row r="483" spans="1:1" customFormat="1" ht="15" customHeight="1" x14ac:dyDescent="0.35">
      <c r="A483" s="81"/>
    </row>
    <row r="484" spans="1:1" customFormat="1" ht="15" customHeight="1" x14ac:dyDescent="0.35">
      <c r="A484" s="81"/>
    </row>
    <row r="485" spans="1:1" customFormat="1" ht="15" customHeight="1" x14ac:dyDescent="0.35">
      <c r="A485" s="81"/>
    </row>
    <row r="486" spans="1:1" customFormat="1" ht="15" customHeight="1" x14ac:dyDescent="0.35">
      <c r="A486" s="81"/>
    </row>
    <row r="487" spans="1:1" customFormat="1" ht="15" customHeight="1" x14ac:dyDescent="0.35">
      <c r="A487" s="81"/>
    </row>
    <row r="488" spans="1:1" customFormat="1" ht="15" customHeight="1" x14ac:dyDescent="0.35">
      <c r="A488" s="81"/>
    </row>
    <row r="489" spans="1:1" customFormat="1" ht="15" customHeight="1" x14ac:dyDescent="0.35">
      <c r="A489" s="81"/>
    </row>
    <row r="490" spans="1:1" customFormat="1" ht="15" customHeight="1" x14ac:dyDescent="0.35">
      <c r="A490" s="81"/>
    </row>
    <row r="491" spans="1:1" customFormat="1" ht="15" customHeight="1" x14ac:dyDescent="0.35">
      <c r="A491" s="81"/>
    </row>
    <row r="492" spans="1:1" customFormat="1" ht="15" customHeight="1" x14ac:dyDescent="0.35">
      <c r="A492" s="81"/>
    </row>
    <row r="493" spans="1:1" customFormat="1" ht="15" customHeight="1" x14ac:dyDescent="0.35">
      <c r="A493" s="81"/>
    </row>
    <row r="494" spans="1:1" customFormat="1" ht="15" customHeight="1" x14ac:dyDescent="0.35">
      <c r="A494" s="81"/>
    </row>
    <row r="495" spans="1:1" customFormat="1" ht="15" customHeight="1" x14ac:dyDescent="0.35">
      <c r="A495" s="81"/>
    </row>
    <row r="496" spans="1:1" customFormat="1" ht="15" customHeight="1" x14ac:dyDescent="0.35">
      <c r="A496" s="81"/>
    </row>
    <row r="497" spans="1:1" customFormat="1" ht="15" customHeight="1" x14ac:dyDescent="0.35">
      <c r="A497" s="81"/>
    </row>
    <row r="498" spans="1:1" customFormat="1" ht="15" customHeight="1" x14ac:dyDescent="0.35">
      <c r="A498" s="81"/>
    </row>
    <row r="499" spans="1:1" customFormat="1" ht="15" customHeight="1" x14ac:dyDescent="0.35">
      <c r="A499" s="81"/>
    </row>
    <row r="500" spans="1:1" customFormat="1" ht="15" customHeight="1" x14ac:dyDescent="0.35">
      <c r="A500" s="81"/>
    </row>
    <row r="501" spans="1:1" customFormat="1" ht="15" customHeight="1" x14ac:dyDescent="0.35">
      <c r="A501" s="81"/>
    </row>
    <row r="502" spans="1:1" customFormat="1" ht="15" customHeight="1" x14ac:dyDescent="0.35">
      <c r="A502" s="81"/>
    </row>
    <row r="503" spans="1:1" customFormat="1" ht="15" customHeight="1" x14ac:dyDescent="0.35">
      <c r="A503" s="81"/>
    </row>
    <row r="504" spans="1:1" customFormat="1" ht="15" customHeight="1" x14ac:dyDescent="0.35">
      <c r="A504" s="81"/>
    </row>
    <row r="505" spans="1:1" customFormat="1" ht="15" customHeight="1" x14ac:dyDescent="0.35">
      <c r="A505" s="81"/>
    </row>
    <row r="506" spans="1:1" customFormat="1" ht="15" customHeight="1" x14ac:dyDescent="0.35">
      <c r="A506" s="81"/>
    </row>
    <row r="507" spans="1:1" customFormat="1" ht="15" customHeight="1" x14ac:dyDescent="0.35">
      <c r="A507" s="81"/>
    </row>
    <row r="508" spans="1:1" customFormat="1" ht="15" customHeight="1" x14ac:dyDescent="0.35">
      <c r="A508" s="81"/>
    </row>
    <row r="509" spans="1:1" customFormat="1" ht="15" customHeight="1" x14ac:dyDescent="0.35">
      <c r="A509" s="81"/>
    </row>
    <row r="510" spans="1:1" customFormat="1" ht="15" customHeight="1" x14ac:dyDescent="0.35">
      <c r="A510" s="81"/>
    </row>
    <row r="511" spans="1:1" customFormat="1" ht="15" customHeight="1" x14ac:dyDescent="0.35">
      <c r="A511" s="81"/>
    </row>
    <row r="512" spans="1:1" customFormat="1" ht="15" customHeight="1" x14ac:dyDescent="0.35">
      <c r="A512" s="81"/>
    </row>
    <row r="513" spans="1:1" customFormat="1" ht="15" customHeight="1" x14ac:dyDescent="0.35">
      <c r="A513" s="81"/>
    </row>
    <row r="514" spans="1:1" customFormat="1" ht="15" customHeight="1" x14ac:dyDescent="0.35">
      <c r="A514" s="81"/>
    </row>
    <row r="515" spans="1:1" customFormat="1" ht="15" customHeight="1" x14ac:dyDescent="0.35">
      <c r="A515" s="81"/>
    </row>
    <row r="516" spans="1:1" customFormat="1" ht="15" customHeight="1" x14ac:dyDescent="0.35">
      <c r="A516" s="81"/>
    </row>
    <row r="517" spans="1:1" customFormat="1" ht="15" customHeight="1" x14ac:dyDescent="0.35">
      <c r="A517" s="81"/>
    </row>
    <row r="518" spans="1:1" customFormat="1" ht="15" customHeight="1" x14ac:dyDescent="0.35">
      <c r="A518" s="81"/>
    </row>
    <row r="519" spans="1:1" customFormat="1" ht="15" customHeight="1" x14ac:dyDescent="0.35">
      <c r="A519" s="81"/>
    </row>
    <row r="520" spans="1:1" customFormat="1" ht="15" customHeight="1" x14ac:dyDescent="0.35">
      <c r="A520" s="81"/>
    </row>
    <row r="521" spans="1:1" customFormat="1" ht="15" customHeight="1" x14ac:dyDescent="0.35">
      <c r="A521" s="81"/>
    </row>
    <row r="522" spans="1:1" customFormat="1" ht="15" customHeight="1" x14ac:dyDescent="0.35">
      <c r="A522" s="81"/>
    </row>
    <row r="523" spans="1:1" customFormat="1" ht="15" customHeight="1" x14ac:dyDescent="0.35">
      <c r="A523" s="81"/>
    </row>
    <row r="524" spans="1:1" customFormat="1" ht="15" customHeight="1" x14ac:dyDescent="0.35">
      <c r="A524" s="81"/>
    </row>
    <row r="525" spans="1:1" customFormat="1" ht="15" customHeight="1" x14ac:dyDescent="0.35">
      <c r="A525" s="81"/>
    </row>
    <row r="526" spans="1:1" customFormat="1" ht="15" customHeight="1" x14ac:dyDescent="0.35">
      <c r="A526" s="81"/>
    </row>
    <row r="527" spans="1:1" customFormat="1" ht="15" customHeight="1" x14ac:dyDescent="0.35">
      <c r="A527" s="81"/>
    </row>
    <row r="528" spans="1:1" customFormat="1" ht="15" customHeight="1" x14ac:dyDescent="0.35">
      <c r="A528" s="81"/>
    </row>
    <row r="529" spans="1:1" customFormat="1" ht="15" customHeight="1" x14ac:dyDescent="0.35">
      <c r="A529" s="81"/>
    </row>
    <row r="530" spans="1:1" customFormat="1" ht="15" customHeight="1" x14ac:dyDescent="0.35">
      <c r="A530" s="81"/>
    </row>
    <row r="531" spans="1:1" customFormat="1" ht="15" customHeight="1" x14ac:dyDescent="0.35">
      <c r="A531" s="81"/>
    </row>
    <row r="532" spans="1:1" customFormat="1" ht="15" customHeight="1" x14ac:dyDescent="0.35">
      <c r="A532" s="81"/>
    </row>
    <row r="533" spans="1:1" customFormat="1" ht="15" customHeight="1" x14ac:dyDescent="0.35">
      <c r="A533" s="81"/>
    </row>
    <row r="534" spans="1:1" customFormat="1" ht="15" customHeight="1" x14ac:dyDescent="0.35">
      <c r="A534" s="81"/>
    </row>
    <row r="535" spans="1:1" customFormat="1" ht="15" customHeight="1" x14ac:dyDescent="0.35">
      <c r="A535" s="81"/>
    </row>
    <row r="536" spans="1:1" customFormat="1" ht="15" customHeight="1" x14ac:dyDescent="0.35">
      <c r="A536" s="81"/>
    </row>
    <row r="537" spans="1:1" customFormat="1" ht="15" customHeight="1" x14ac:dyDescent="0.35">
      <c r="A537" s="81"/>
    </row>
    <row r="538" spans="1:1" customFormat="1" ht="15" customHeight="1" x14ac:dyDescent="0.35">
      <c r="A538" s="81"/>
    </row>
    <row r="539" spans="1:1" customFormat="1" ht="15" customHeight="1" x14ac:dyDescent="0.35">
      <c r="A539" s="81"/>
    </row>
    <row r="540" spans="1:1" customFormat="1" ht="15" customHeight="1" x14ac:dyDescent="0.35">
      <c r="A540" s="81"/>
    </row>
    <row r="541" spans="1:1" customFormat="1" ht="15" customHeight="1" x14ac:dyDescent="0.35">
      <c r="A541" s="81"/>
    </row>
    <row r="542" spans="1:1" customFormat="1" ht="15" customHeight="1" x14ac:dyDescent="0.35">
      <c r="A542" s="81"/>
    </row>
    <row r="543" spans="1:1" customFormat="1" ht="15" customHeight="1" x14ac:dyDescent="0.35">
      <c r="A543" s="81"/>
    </row>
    <row r="544" spans="1:1" customFormat="1" ht="15" customHeight="1" x14ac:dyDescent="0.35">
      <c r="A544" s="81"/>
    </row>
    <row r="545" spans="1:1" customFormat="1" ht="15" customHeight="1" x14ac:dyDescent="0.35">
      <c r="A545" s="81"/>
    </row>
    <row r="546" spans="1:1" customFormat="1" ht="15" customHeight="1" x14ac:dyDescent="0.35">
      <c r="A546" s="81"/>
    </row>
    <row r="547" spans="1:1" customFormat="1" ht="15" customHeight="1" x14ac:dyDescent="0.35">
      <c r="A547" s="81"/>
    </row>
    <row r="548" spans="1:1" customFormat="1" ht="15" customHeight="1" x14ac:dyDescent="0.35">
      <c r="A548" s="81"/>
    </row>
    <row r="549" spans="1:1" customFormat="1" ht="15" customHeight="1" x14ac:dyDescent="0.35">
      <c r="A549" s="81"/>
    </row>
    <row r="550" spans="1:1" customFormat="1" ht="15" customHeight="1" x14ac:dyDescent="0.35">
      <c r="A550" s="81"/>
    </row>
    <row r="551" spans="1:1" customFormat="1" ht="15" customHeight="1" x14ac:dyDescent="0.35">
      <c r="A551" s="81"/>
    </row>
    <row r="552" spans="1:1" customFormat="1" ht="15" customHeight="1" x14ac:dyDescent="0.35">
      <c r="A552" s="81"/>
    </row>
    <row r="553" spans="1:1" customFormat="1" ht="15" customHeight="1" x14ac:dyDescent="0.35">
      <c r="A553" s="81"/>
    </row>
    <row r="554" spans="1:1" customFormat="1" ht="15" customHeight="1" x14ac:dyDescent="0.35">
      <c r="A554" s="81"/>
    </row>
    <row r="555" spans="1:1" customFormat="1" ht="15" customHeight="1" x14ac:dyDescent="0.35">
      <c r="A555" s="81"/>
    </row>
    <row r="556" spans="1:1" customFormat="1" ht="15" customHeight="1" x14ac:dyDescent="0.35">
      <c r="A556" s="81"/>
    </row>
    <row r="557" spans="1:1" customFormat="1" ht="15" customHeight="1" x14ac:dyDescent="0.35">
      <c r="A557" s="81"/>
    </row>
    <row r="558" spans="1:1" customFormat="1" ht="15" customHeight="1" x14ac:dyDescent="0.35">
      <c r="A558" s="81"/>
    </row>
    <row r="559" spans="1:1" customFormat="1" ht="15" customHeight="1" x14ac:dyDescent="0.35">
      <c r="A559" s="81"/>
    </row>
    <row r="560" spans="1:1" customFormat="1" ht="15" customHeight="1" x14ac:dyDescent="0.35">
      <c r="A560" s="81"/>
    </row>
    <row r="561" spans="1:1" customFormat="1" ht="15" customHeight="1" x14ac:dyDescent="0.35">
      <c r="A561" s="81"/>
    </row>
    <row r="562" spans="1:1" customFormat="1" ht="15" customHeight="1" x14ac:dyDescent="0.35">
      <c r="A562" s="81"/>
    </row>
    <row r="563" spans="1:1" customFormat="1" ht="15" customHeight="1" x14ac:dyDescent="0.35">
      <c r="A563" s="81"/>
    </row>
    <row r="564" spans="1:1" customFormat="1" ht="15" customHeight="1" x14ac:dyDescent="0.35">
      <c r="A564" s="81"/>
    </row>
    <row r="565" spans="1:1" customFormat="1" ht="15" customHeight="1" x14ac:dyDescent="0.35">
      <c r="A565" s="81"/>
    </row>
    <row r="566" spans="1:1" customFormat="1" ht="15" customHeight="1" x14ac:dyDescent="0.35">
      <c r="A566" s="81"/>
    </row>
    <row r="567" spans="1:1" customFormat="1" ht="15" customHeight="1" x14ac:dyDescent="0.35">
      <c r="A567" s="81"/>
    </row>
    <row r="568" spans="1:1" customFormat="1" ht="15" customHeight="1" x14ac:dyDescent="0.35">
      <c r="A568" s="81"/>
    </row>
    <row r="569" spans="1:1" customFormat="1" ht="15" customHeight="1" x14ac:dyDescent="0.35">
      <c r="A569" s="81"/>
    </row>
    <row r="570" spans="1:1" customFormat="1" ht="15" customHeight="1" x14ac:dyDescent="0.35">
      <c r="A570" s="81"/>
    </row>
    <row r="571" spans="1:1" customFormat="1" ht="15" customHeight="1" x14ac:dyDescent="0.35">
      <c r="A571" s="81"/>
    </row>
    <row r="572" spans="1:1" customFormat="1" ht="15" customHeight="1" x14ac:dyDescent="0.35">
      <c r="A572" s="81"/>
    </row>
    <row r="573" spans="1:1" customFormat="1" ht="15" customHeight="1" x14ac:dyDescent="0.35">
      <c r="A573" s="81"/>
    </row>
    <row r="574" spans="1:1" customFormat="1" ht="15" customHeight="1" x14ac:dyDescent="0.35">
      <c r="A574" s="81"/>
    </row>
    <row r="575" spans="1:1" customFormat="1" ht="15" customHeight="1" x14ac:dyDescent="0.35">
      <c r="A575" s="81"/>
    </row>
    <row r="576" spans="1:1" customFormat="1" ht="15" customHeight="1" x14ac:dyDescent="0.35">
      <c r="A576" s="81"/>
    </row>
    <row r="577" spans="1:1" customFormat="1" ht="15" customHeight="1" x14ac:dyDescent="0.35">
      <c r="A577" s="81"/>
    </row>
    <row r="578" spans="1:1" customFormat="1" ht="15" customHeight="1" x14ac:dyDescent="0.35">
      <c r="A578" s="81"/>
    </row>
    <row r="579" spans="1:1" customFormat="1" ht="15" customHeight="1" x14ac:dyDescent="0.35">
      <c r="A579" s="81"/>
    </row>
    <row r="580" spans="1:1" customFormat="1" ht="15" customHeight="1" x14ac:dyDescent="0.35">
      <c r="A580" s="81"/>
    </row>
    <row r="581" spans="1:1" customFormat="1" ht="15" customHeight="1" x14ac:dyDescent="0.35">
      <c r="A581" s="81"/>
    </row>
    <row r="582" spans="1:1" customFormat="1" ht="15" customHeight="1" x14ac:dyDescent="0.35">
      <c r="A582" s="81"/>
    </row>
    <row r="583" spans="1:1" customFormat="1" ht="15" customHeight="1" x14ac:dyDescent="0.35">
      <c r="A583" s="81"/>
    </row>
    <row r="584" spans="1:1" customFormat="1" ht="15" customHeight="1" x14ac:dyDescent="0.35">
      <c r="A584" s="81"/>
    </row>
    <row r="585" spans="1:1" customFormat="1" ht="15" customHeight="1" x14ac:dyDescent="0.35">
      <c r="A585" s="81"/>
    </row>
    <row r="586" spans="1:1" customFormat="1" ht="15" customHeight="1" x14ac:dyDescent="0.35">
      <c r="A586" s="81"/>
    </row>
    <row r="587" spans="1:1" customFormat="1" ht="15" customHeight="1" x14ac:dyDescent="0.35">
      <c r="A587" s="81"/>
    </row>
    <row r="588" spans="1:1" customFormat="1" ht="15" customHeight="1" x14ac:dyDescent="0.35">
      <c r="A588" s="81"/>
    </row>
    <row r="589" spans="1:1" customFormat="1" ht="15" customHeight="1" x14ac:dyDescent="0.35">
      <c r="A589" s="81"/>
    </row>
    <row r="590" spans="1:1" customFormat="1" ht="15" customHeight="1" x14ac:dyDescent="0.35">
      <c r="A590" s="81"/>
    </row>
    <row r="591" spans="1:1" customFormat="1" ht="15" customHeight="1" x14ac:dyDescent="0.35">
      <c r="A591" s="81"/>
    </row>
    <row r="592" spans="1:1" customFormat="1" ht="15" customHeight="1" x14ac:dyDescent="0.35">
      <c r="A592" s="81"/>
    </row>
    <row r="593" spans="1:1" customFormat="1" ht="15" customHeight="1" x14ac:dyDescent="0.35">
      <c r="A593" s="81"/>
    </row>
    <row r="594" spans="1:1" customFormat="1" ht="15" customHeight="1" x14ac:dyDescent="0.35">
      <c r="A594" s="81"/>
    </row>
    <row r="595" spans="1:1" customFormat="1" ht="15" customHeight="1" x14ac:dyDescent="0.35">
      <c r="A595" s="81"/>
    </row>
    <row r="596" spans="1:1" customFormat="1" ht="15" customHeight="1" x14ac:dyDescent="0.35">
      <c r="A596" s="81"/>
    </row>
    <row r="597" spans="1:1" customFormat="1" ht="15" customHeight="1" x14ac:dyDescent="0.35">
      <c r="A597" s="81"/>
    </row>
    <row r="598" spans="1:1" customFormat="1" ht="15" customHeight="1" x14ac:dyDescent="0.35">
      <c r="A598" s="81"/>
    </row>
    <row r="599" spans="1:1" customFormat="1" ht="15" customHeight="1" x14ac:dyDescent="0.35">
      <c r="A599" s="81"/>
    </row>
    <row r="600" spans="1:1" customFormat="1" ht="15" customHeight="1" x14ac:dyDescent="0.35">
      <c r="A600" s="81"/>
    </row>
    <row r="601" spans="1:1" customFormat="1" ht="15" customHeight="1" x14ac:dyDescent="0.35">
      <c r="A601" s="81"/>
    </row>
    <row r="602" spans="1:1" customFormat="1" ht="15" customHeight="1" x14ac:dyDescent="0.35">
      <c r="A602" s="81"/>
    </row>
    <row r="603" spans="1:1" customFormat="1" ht="15" customHeight="1" x14ac:dyDescent="0.35">
      <c r="A603" s="81"/>
    </row>
    <row r="604" spans="1:1" customFormat="1" ht="15" customHeight="1" x14ac:dyDescent="0.35">
      <c r="A604" s="81"/>
    </row>
    <row r="605" spans="1:1" customFormat="1" ht="15" customHeight="1" x14ac:dyDescent="0.35">
      <c r="A605" s="81"/>
    </row>
    <row r="606" spans="1:1" customFormat="1" ht="15" customHeight="1" x14ac:dyDescent="0.35">
      <c r="A606" s="81"/>
    </row>
    <row r="607" spans="1:1" customFormat="1" ht="15" customHeight="1" x14ac:dyDescent="0.35">
      <c r="A607" s="81"/>
    </row>
    <row r="608" spans="1:1" customFormat="1" ht="15" customHeight="1" x14ac:dyDescent="0.35">
      <c r="A608" s="81"/>
    </row>
    <row r="609" spans="1:1" customFormat="1" ht="15" customHeight="1" x14ac:dyDescent="0.35">
      <c r="A609" s="81"/>
    </row>
    <row r="610" spans="1:1" customFormat="1" ht="15" customHeight="1" x14ac:dyDescent="0.35">
      <c r="A610" s="81"/>
    </row>
    <row r="611" spans="1:1" customFormat="1" ht="15" customHeight="1" x14ac:dyDescent="0.35">
      <c r="A611" s="81"/>
    </row>
    <row r="612" spans="1:1" customFormat="1" ht="15" customHeight="1" x14ac:dyDescent="0.35">
      <c r="A612" s="81"/>
    </row>
    <row r="613" spans="1:1" customFormat="1" ht="15" customHeight="1" x14ac:dyDescent="0.35">
      <c r="A613" s="81"/>
    </row>
    <row r="614" spans="1:1" customFormat="1" ht="15" customHeight="1" x14ac:dyDescent="0.35">
      <c r="A614" s="81"/>
    </row>
    <row r="615" spans="1:1" customFormat="1" ht="15" customHeight="1" x14ac:dyDescent="0.35">
      <c r="A615" s="81"/>
    </row>
    <row r="616" spans="1:1" customFormat="1" ht="15" customHeight="1" x14ac:dyDescent="0.35">
      <c r="A616" s="81"/>
    </row>
    <row r="617" spans="1:1" customFormat="1" ht="15" customHeight="1" x14ac:dyDescent="0.35">
      <c r="A617" s="81"/>
    </row>
    <row r="618" spans="1:1" customFormat="1" ht="15" customHeight="1" x14ac:dyDescent="0.35">
      <c r="A618" s="81"/>
    </row>
    <row r="619" spans="1:1" customFormat="1" ht="15" customHeight="1" x14ac:dyDescent="0.35">
      <c r="A619" s="81"/>
    </row>
    <row r="620" spans="1:1" customFormat="1" ht="15" customHeight="1" x14ac:dyDescent="0.35">
      <c r="A620" s="81"/>
    </row>
    <row r="621" spans="1:1" customFormat="1" ht="15" customHeight="1" x14ac:dyDescent="0.35">
      <c r="A621" s="81"/>
    </row>
    <row r="622" spans="1:1" customFormat="1" ht="15" customHeight="1" x14ac:dyDescent="0.35">
      <c r="A622" s="81"/>
    </row>
    <row r="623" spans="1:1" customFormat="1" ht="15" customHeight="1" x14ac:dyDescent="0.35">
      <c r="A623" s="81"/>
    </row>
    <row r="624" spans="1:1" customFormat="1" ht="15" customHeight="1" x14ac:dyDescent="0.35">
      <c r="A624" s="81"/>
    </row>
    <row r="625" spans="1:1" customFormat="1" ht="15" customHeight="1" x14ac:dyDescent="0.35">
      <c r="A625" s="81"/>
    </row>
    <row r="626" spans="1:1" customFormat="1" ht="15" customHeight="1" x14ac:dyDescent="0.35">
      <c r="A626" s="81"/>
    </row>
    <row r="627" spans="1:1" customFormat="1" ht="15" customHeight="1" x14ac:dyDescent="0.35">
      <c r="A627" s="81"/>
    </row>
    <row r="628" spans="1:1" customFormat="1" ht="15" customHeight="1" x14ac:dyDescent="0.35">
      <c r="A628" s="81"/>
    </row>
    <row r="629" spans="1:1" customFormat="1" ht="15" customHeight="1" x14ac:dyDescent="0.35">
      <c r="A629" s="81"/>
    </row>
    <row r="630" spans="1:1" customFormat="1" ht="15" customHeight="1" x14ac:dyDescent="0.35">
      <c r="A630" s="81"/>
    </row>
    <row r="631" spans="1:1" customFormat="1" ht="15" customHeight="1" x14ac:dyDescent="0.35">
      <c r="A631" s="81"/>
    </row>
    <row r="632" spans="1:1" customFormat="1" ht="15" customHeight="1" x14ac:dyDescent="0.35">
      <c r="A632" s="81"/>
    </row>
    <row r="633" spans="1:1" customFormat="1" ht="15" customHeight="1" x14ac:dyDescent="0.35">
      <c r="A633" s="81"/>
    </row>
    <row r="634" spans="1:1" customFormat="1" ht="15" customHeight="1" x14ac:dyDescent="0.35">
      <c r="A634" s="81"/>
    </row>
    <row r="635" spans="1:1" customFormat="1" ht="15" customHeight="1" x14ac:dyDescent="0.35">
      <c r="A635" s="81"/>
    </row>
    <row r="636" spans="1:1" customFormat="1" ht="15" customHeight="1" x14ac:dyDescent="0.35">
      <c r="A636" s="81"/>
    </row>
    <row r="637" spans="1:1" customFormat="1" ht="15" customHeight="1" x14ac:dyDescent="0.35">
      <c r="A637" s="81"/>
    </row>
    <row r="638" spans="1:1" customFormat="1" ht="15" customHeight="1" x14ac:dyDescent="0.35">
      <c r="A638" s="81"/>
    </row>
    <row r="639" spans="1:1" customFormat="1" ht="15" customHeight="1" x14ac:dyDescent="0.35">
      <c r="A639" s="81"/>
    </row>
    <row r="640" spans="1:1" customFormat="1" ht="15" customHeight="1" x14ac:dyDescent="0.35">
      <c r="A640" s="81"/>
    </row>
    <row r="641" spans="1:1" customFormat="1" ht="15" customHeight="1" x14ac:dyDescent="0.35">
      <c r="A641" s="81"/>
    </row>
    <row r="642" spans="1:1" customFormat="1" ht="15" customHeight="1" x14ac:dyDescent="0.35">
      <c r="A642" s="81"/>
    </row>
    <row r="643" spans="1:1" customFormat="1" ht="15" customHeight="1" x14ac:dyDescent="0.35">
      <c r="A643" s="81"/>
    </row>
    <row r="644" spans="1:1" customFormat="1" ht="15" customHeight="1" x14ac:dyDescent="0.35">
      <c r="A644" s="81"/>
    </row>
    <row r="645" spans="1:1" customFormat="1" ht="15" customHeight="1" x14ac:dyDescent="0.35">
      <c r="A645" s="81"/>
    </row>
    <row r="646" spans="1:1" customFormat="1" ht="15" customHeight="1" x14ac:dyDescent="0.35">
      <c r="A646" s="81"/>
    </row>
    <row r="647" spans="1:1" customFormat="1" ht="15" customHeight="1" x14ac:dyDescent="0.35">
      <c r="A647" s="81"/>
    </row>
    <row r="648" spans="1:1" customFormat="1" ht="15" customHeight="1" x14ac:dyDescent="0.35">
      <c r="A648" s="81"/>
    </row>
    <row r="649" spans="1:1" customFormat="1" ht="15" customHeight="1" x14ac:dyDescent="0.35">
      <c r="A649" s="81"/>
    </row>
    <row r="650" spans="1:1" customFormat="1" ht="15" customHeight="1" x14ac:dyDescent="0.35">
      <c r="A650" s="81"/>
    </row>
    <row r="651" spans="1:1" customFormat="1" ht="15" customHeight="1" x14ac:dyDescent="0.35">
      <c r="A651" s="81"/>
    </row>
    <row r="652" spans="1:1" customFormat="1" ht="15" customHeight="1" x14ac:dyDescent="0.35">
      <c r="A652" s="81"/>
    </row>
    <row r="653" spans="1:1" customFormat="1" ht="15" customHeight="1" x14ac:dyDescent="0.35">
      <c r="A653" s="81"/>
    </row>
    <row r="654" spans="1:1" customFormat="1" ht="15" customHeight="1" x14ac:dyDescent="0.35">
      <c r="A654" s="81"/>
    </row>
    <row r="655" spans="1:1" customFormat="1" ht="15" customHeight="1" x14ac:dyDescent="0.35">
      <c r="A655" s="81"/>
    </row>
    <row r="656" spans="1:1" customFormat="1" ht="15" customHeight="1" x14ac:dyDescent="0.35">
      <c r="A656" s="81"/>
    </row>
    <row r="657" spans="1:1" customFormat="1" ht="15" customHeight="1" x14ac:dyDescent="0.35">
      <c r="A657" s="81"/>
    </row>
    <row r="658" spans="1:1" customFormat="1" ht="15" customHeight="1" x14ac:dyDescent="0.35">
      <c r="A658" s="81"/>
    </row>
    <row r="659" spans="1:1" customFormat="1" ht="15" customHeight="1" x14ac:dyDescent="0.35">
      <c r="A659" s="81"/>
    </row>
    <row r="660" spans="1:1" customFormat="1" ht="15" customHeight="1" x14ac:dyDescent="0.35">
      <c r="A660" s="81"/>
    </row>
    <row r="661" spans="1:1" customFormat="1" ht="15" customHeight="1" x14ac:dyDescent="0.35">
      <c r="A661" s="81"/>
    </row>
    <row r="662" spans="1:1" customFormat="1" ht="15" customHeight="1" x14ac:dyDescent="0.35">
      <c r="A662" s="81"/>
    </row>
    <row r="663" spans="1:1" customFormat="1" ht="15" customHeight="1" x14ac:dyDescent="0.35">
      <c r="A663" s="81"/>
    </row>
    <row r="664" spans="1:1" customFormat="1" ht="15" customHeight="1" x14ac:dyDescent="0.35">
      <c r="A664" s="81"/>
    </row>
    <row r="665" spans="1:1" customFormat="1" ht="15" customHeight="1" x14ac:dyDescent="0.35">
      <c r="A665" s="81"/>
    </row>
    <row r="666" spans="1:1" customFormat="1" ht="15" customHeight="1" x14ac:dyDescent="0.35">
      <c r="A666" s="81"/>
    </row>
    <row r="667" spans="1:1" customFormat="1" ht="15" customHeight="1" x14ac:dyDescent="0.35">
      <c r="A667" s="81"/>
    </row>
    <row r="668" spans="1:1" customFormat="1" ht="15" customHeight="1" x14ac:dyDescent="0.35">
      <c r="A668" s="81"/>
    </row>
    <row r="669" spans="1:1" customFormat="1" ht="15" customHeight="1" x14ac:dyDescent="0.35">
      <c r="A669" s="81"/>
    </row>
    <row r="670" spans="1:1" customFormat="1" ht="15" customHeight="1" x14ac:dyDescent="0.35">
      <c r="A670" s="81"/>
    </row>
    <row r="671" spans="1:1" customFormat="1" ht="15" customHeight="1" x14ac:dyDescent="0.35">
      <c r="A671" s="81"/>
    </row>
    <row r="672" spans="1:1" customFormat="1" ht="15" customHeight="1" x14ac:dyDescent="0.35">
      <c r="A672" s="81"/>
    </row>
    <row r="673" spans="1:1" customFormat="1" ht="15" customHeight="1" x14ac:dyDescent="0.35">
      <c r="A673" s="81"/>
    </row>
    <row r="674" spans="1:1" customFormat="1" ht="15" customHeight="1" x14ac:dyDescent="0.35">
      <c r="A674" s="81"/>
    </row>
    <row r="675" spans="1:1" customFormat="1" ht="15" customHeight="1" x14ac:dyDescent="0.35">
      <c r="A675" s="81"/>
    </row>
    <row r="676" spans="1:1" customFormat="1" ht="15" customHeight="1" x14ac:dyDescent="0.35">
      <c r="A676" s="81"/>
    </row>
    <row r="677" spans="1:1" customFormat="1" ht="15" customHeight="1" x14ac:dyDescent="0.35">
      <c r="A677" s="81"/>
    </row>
    <row r="678" spans="1:1" customFormat="1" ht="15" customHeight="1" x14ac:dyDescent="0.35">
      <c r="A678" s="81"/>
    </row>
    <row r="679" spans="1:1" customFormat="1" ht="15" customHeight="1" x14ac:dyDescent="0.35">
      <c r="A679" s="81"/>
    </row>
    <row r="680" spans="1:1" customFormat="1" ht="15" customHeight="1" x14ac:dyDescent="0.35">
      <c r="A680" s="81"/>
    </row>
    <row r="681" spans="1:1" customFormat="1" ht="15" customHeight="1" x14ac:dyDescent="0.35">
      <c r="A681" s="81"/>
    </row>
    <row r="682" spans="1:1" customFormat="1" ht="15" customHeight="1" x14ac:dyDescent="0.35">
      <c r="A682" s="81"/>
    </row>
    <row r="683" spans="1:1" customFormat="1" ht="15" customHeight="1" x14ac:dyDescent="0.35">
      <c r="A683" s="81"/>
    </row>
    <row r="684" spans="1:1" customFormat="1" ht="15" customHeight="1" x14ac:dyDescent="0.35">
      <c r="A684" s="81"/>
    </row>
    <row r="685" spans="1:1" customFormat="1" ht="15" customHeight="1" x14ac:dyDescent="0.35">
      <c r="A685" s="81"/>
    </row>
    <row r="686" spans="1:1" customFormat="1" ht="15" customHeight="1" x14ac:dyDescent="0.35">
      <c r="A686" s="81"/>
    </row>
    <row r="687" spans="1:1" customFormat="1" ht="15" customHeight="1" x14ac:dyDescent="0.35">
      <c r="A687" s="81"/>
    </row>
    <row r="688" spans="1:1" customFormat="1" ht="15" customHeight="1" x14ac:dyDescent="0.35">
      <c r="A688" s="81"/>
    </row>
    <row r="689" spans="1:1" customFormat="1" ht="15" customHeight="1" x14ac:dyDescent="0.35">
      <c r="A689" s="81"/>
    </row>
    <row r="690" spans="1:1" customFormat="1" ht="15" customHeight="1" x14ac:dyDescent="0.35">
      <c r="A690" s="81"/>
    </row>
    <row r="691" spans="1:1" customFormat="1" ht="15" customHeight="1" x14ac:dyDescent="0.35">
      <c r="A691" s="81"/>
    </row>
    <row r="692" spans="1:1" customFormat="1" ht="15" customHeight="1" x14ac:dyDescent="0.35">
      <c r="A692" s="81"/>
    </row>
    <row r="693" spans="1:1" customFormat="1" ht="15" customHeight="1" x14ac:dyDescent="0.35">
      <c r="A693" s="81"/>
    </row>
    <row r="694" spans="1:1" customFormat="1" ht="15" customHeight="1" x14ac:dyDescent="0.35">
      <c r="A694" s="81"/>
    </row>
    <row r="695" spans="1:1" customFormat="1" ht="15" customHeight="1" x14ac:dyDescent="0.35">
      <c r="A695" s="81"/>
    </row>
    <row r="696" spans="1:1" customFormat="1" ht="15" customHeight="1" x14ac:dyDescent="0.35">
      <c r="A696" s="81"/>
    </row>
    <row r="697" spans="1:1" customFormat="1" ht="15" customHeight="1" x14ac:dyDescent="0.35">
      <c r="A697" s="81"/>
    </row>
    <row r="698" spans="1:1" customFormat="1" ht="15" customHeight="1" x14ac:dyDescent="0.35">
      <c r="A698" s="81"/>
    </row>
    <row r="699" spans="1:1" customFormat="1" ht="15" customHeight="1" x14ac:dyDescent="0.35">
      <c r="A699" s="81"/>
    </row>
    <row r="700" spans="1:1" customFormat="1" ht="15" customHeight="1" x14ac:dyDescent="0.35">
      <c r="A700" s="81"/>
    </row>
    <row r="701" spans="1:1" customFormat="1" ht="15" customHeight="1" x14ac:dyDescent="0.35">
      <c r="A701" s="81"/>
    </row>
    <row r="702" spans="1:1" customFormat="1" ht="15" customHeight="1" x14ac:dyDescent="0.35">
      <c r="A702" s="81"/>
    </row>
    <row r="703" spans="1:1" customFormat="1" ht="15" customHeight="1" x14ac:dyDescent="0.35">
      <c r="A703" s="81"/>
    </row>
    <row r="704" spans="1:1" customFormat="1" ht="15" customHeight="1" x14ac:dyDescent="0.35">
      <c r="A704" s="81"/>
    </row>
    <row r="705" spans="1:1" customFormat="1" ht="15" customHeight="1" x14ac:dyDescent="0.35">
      <c r="A705" s="81"/>
    </row>
    <row r="706" spans="1:1" customFormat="1" ht="15" customHeight="1" x14ac:dyDescent="0.35">
      <c r="A706" s="81"/>
    </row>
    <row r="707" spans="1:1" customFormat="1" ht="15" customHeight="1" x14ac:dyDescent="0.35">
      <c r="A707" s="81"/>
    </row>
    <row r="708" spans="1:1" customFormat="1" ht="15" customHeight="1" x14ac:dyDescent="0.35">
      <c r="A708" s="81"/>
    </row>
    <row r="709" spans="1:1" customFormat="1" ht="15" customHeight="1" x14ac:dyDescent="0.35">
      <c r="A709" s="81"/>
    </row>
    <row r="710" spans="1:1" customFormat="1" ht="15" customHeight="1" x14ac:dyDescent="0.35">
      <c r="A710" s="81"/>
    </row>
    <row r="711" spans="1:1" customFormat="1" ht="15" customHeight="1" x14ac:dyDescent="0.35">
      <c r="A711" s="81"/>
    </row>
    <row r="712" spans="1:1" customFormat="1" ht="15" customHeight="1" x14ac:dyDescent="0.35">
      <c r="A712" s="81"/>
    </row>
    <row r="713" spans="1:1" customFormat="1" ht="15" customHeight="1" x14ac:dyDescent="0.35">
      <c r="A713" s="81"/>
    </row>
    <row r="714" spans="1:1" customFormat="1" ht="15" customHeight="1" x14ac:dyDescent="0.35">
      <c r="A714" s="81"/>
    </row>
    <row r="715" spans="1:1" customFormat="1" ht="15" customHeight="1" x14ac:dyDescent="0.35">
      <c r="A715" s="81"/>
    </row>
    <row r="716" spans="1:1" customFormat="1" ht="15" customHeight="1" x14ac:dyDescent="0.35">
      <c r="A716" s="81"/>
    </row>
    <row r="717" spans="1:1" customFormat="1" ht="15" customHeight="1" x14ac:dyDescent="0.35">
      <c r="A717" s="81"/>
    </row>
    <row r="718" spans="1:1" customFormat="1" ht="15" customHeight="1" x14ac:dyDescent="0.35">
      <c r="A718" s="81"/>
    </row>
    <row r="719" spans="1:1" customFormat="1" ht="15" customHeight="1" x14ac:dyDescent="0.35">
      <c r="A719" s="81"/>
    </row>
    <row r="720" spans="1:1" customFormat="1" ht="15" customHeight="1" x14ac:dyDescent="0.35">
      <c r="A720" s="81"/>
    </row>
    <row r="721" spans="1:1" customFormat="1" ht="15" customHeight="1" x14ac:dyDescent="0.35">
      <c r="A721" s="81"/>
    </row>
    <row r="722" spans="1:1" customFormat="1" ht="15" customHeight="1" x14ac:dyDescent="0.35">
      <c r="A722" s="81"/>
    </row>
    <row r="723" spans="1:1" customFormat="1" ht="15" customHeight="1" x14ac:dyDescent="0.35">
      <c r="A723" s="81"/>
    </row>
    <row r="724" spans="1:1" customFormat="1" ht="15" customHeight="1" x14ac:dyDescent="0.35">
      <c r="A724" s="81"/>
    </row>
    <row r="725" spans="1:1" customFormat="1" ht="15" customHeight="1" x14ac:dyDescent="0.35">
      <c r="A725" s="81"/>
    </row>
    <row r="726" spans="1:1" customFormat="1" ht="15" customHeight="1" x14ac:dyDescent="0.35">
      <c r="A726" s="81"/>
    </row>
    <row r="727" spans="1:1" customFormat="1" ht="15" customHeight="1" x14ac:dyDescent="0.35">
      <c r="A727" s="81"/>
    </row>
    <row r="728" spans="1:1" customFormat="1" ht="15" customHeight="1" x14ac:dyDescent="0.35">
      <c r="A728" s="81"/>
    </row>
    <row r="729" spans="1:1" customFormat="1" ht="15" customHeight="1" x14ac:dyDescent="0.35">
      <c r="A729" s="81"/>
    </row>
    <row r="730" spans="1:1" customFormat="1" ht="15" customHeight="1" x14ac:dyDescent="0.35">
      <c r="A730" s="81"/>
    </row>
    <row r="731" spans="1:1" customFormat="1" ht="15" customHeight="1" x14ac:dyDescent="0.35">
      <c r="A731" s="81"/>
    </row>
    <row r="732" spans="1:1" customFormat="1" ht="15" customHeight="1" x14ac:dyDescent="0.35">
      <c r="A732" s="81"/>
    </row>
    <row r="733" spans="1:1" customFormat="1" ht="15" customHeight="1" x14ac:dyDescent="0.35">
      <c r="A733" s="81"/>
    </row>
    <row r="734" spans="1:1" customFormat="1" ht="15" customHeight="1" x14ac:dyDescent="0.35">
      <c r="A734" s="81"/>
    </row>
    <row r="735" spans="1:1" customFormat="1" ht="15" customHeight="1" x14ac:dyDescent="0.35">
      <c r="A735" s="81"/>
    </row>
    <row r="736" spans="1:1" customFormat="1" ht="15" customHeight="1" x14ac:dyDescent="0.35">
      <c r="A736" s="81"/>
    </row>
    <row r="737" spans="1:1" customFormat="1" ht="15" customHeight="1" x14ac:dyDescent="0.35">
      <c r="A737" s="81"/>
    </row>
    <row r="738" spans="1:1" customFormat="1" ht="15" customHeight="1" x14ac:dyDescent="0.35">
      <c r="A738" s="81"/>
    </row>
    <row r="739" spans="1:1" customFormat="1" ht="15" customHeight="1" x14ac:dyDescent="0.35">
      <c r="A739" s="81"/>
    </row>
    <row r="740" spans="1:1" customFormat="1" ht="15" customHeight="1" x14ac:dyDescent="0.35">
      <c r="A740" s="81"/>
    </row>
    <row r="741" spans="1:1" customFormat="1" ht="15" customHeight="1" x14ac:dyDescent="0.35">
      <c r="A741" s="81"/>
    </row>
    <row r="742" spans="1:1" customFormat="1" ht="15" customHeight="1" x14ac:dyDescent="0.35">
      <c r="A742" s="81"/>
    </row>
    <row r="743" spans="1:1" customFormat="1" ht="15" customHeight="1" x14ac:dyDescent="0.35">
      <c r="A743" s="81"/>
    </row>
    <row r="744" spans="1:1" customFormat="1" ht="15" customHeight="1" x14ac:dyDescent="0.35">
      <c r="A744" s="81"/>
    </row>
    <row r="745" spans="1:1" customFormat="1" ht="15" customHeight="1" x14ac:dyDescent="0.35">
      <c r="A745" s="81"/>
    </row>
    <row r="746" spans="1:1" customFormat="1" ht="15" customHeight="1" x14ac:dyDescent="0.35">
      <c r="A746" s="81"/>
    </row>
    <row r="747" spans="1:1" customFormat="1" ht="15" customHeight="1" x14ac:dyDescent="0.35">
      <c r="A747" s="81"/>
    </row>
    <row r="748" spans="1:1" customFormat="1" ht="15" customHeight="1" x14ac:dyDescent="0.35">
      <c r="A748" s="81"/>
    </row>
    <row r="749" spans="1:1" customFormat="1" ht="15" customHeight="1" x14ac:dyDescent="0.35">
      <c r="A749" s="81"/>
    </row>
    <row r="750" spans="1:1" customFormat="1" ht="15" customHeight="1" x14ac:dyDescent="0.35">
      <c r="A750" s="81"/>
    </row>
    <row r="751" spans="1:1" customFormat="1" ht="15" customHeight="1" x14ac:dyDescent="0.35">
      <c r="A751" s="81"/>
    </row>
    <row r="752" spans="1:1" customFormat="1" ht="15" customHeight="1" x14ac:dyDescent="0.35">
      <c r="A752" s="81"/>
    </row>
    <row r="753" spans="1:1" customFormat="1" ht="15" customHeight="1" x14ac:dyDescent="0.35">
      <c r="A753" s="81"/>
    </row>
    <row r="754" spans="1:1" customFormat="1" ht="15" customHeight="1" x14ac:dyDescent="0.35">
      <c r="A754" s="81"/>
    </row>
    <row r="755" spans="1:1" customFormat="1" ht="15" customHeight="1" x14ac:dyDescent="0.35">
      <c r="A755" s="81"/>
    </row>
    <row r="756" spans="1:1" customFormat="1" ht="15" customHeight="1" x14ac:dyDescent="0.35">
      <c r="A756" s="81"/>
    </row>
    <row r="757" spans="1:1" customFormat="1" ht="15" customHeight="1" x14ac:dyDescent="0.35">
      <c r="A757" s="81"/>
    </row>
    <row r="758" spans="1:1" customFormat="1" ht="15" customHeight="1" x14ac:dyDescent="0.35">
      <c r="A758" s="81"/>
    </row>
    <row r="759" spans="1:1" customFormat="1" ht="15" customHeight="1" x14ac:dyDescent="0.35">
      <c r="A759" s="81"/>
    </row>
    <row r="760" spans="1:1" customFormat="1" ht="15" customHeight="1" x14ac:dyDescent="0.35">
      <c r="A760" s="81"/>
    </row>
    <row r="761" spans="1:1" customFormat="1" ht="15" customHeight="1" x14ac:dyDescent="0.35">
      <c r="A761" s="81"/>
    </row>
    <row r="762" spans="1:1" customFormat="1" ht="15" customHeight="1" x14ac:dyDescent="0.35">
      <c r="A762" s="81"/>
    </row>
    <row r="763" spans="1:1" customFormat="1" ht="15" customHeight="1" x14ac:dyDescent="0.35">
      <c r="A763" s="81"/>
    </row>
    <row r="764" spans="1:1" customFormat="1" ht="15" customHeight="1" x14ac:dyDescent="0.35">
      <c r="A764" s="81"/>
    </row>
    <row r="765" spans="1:1" customFormat="1" ht="15" customHeight="1" x14ac:dyDescent="0.35">
      <c r="A765" s="81"/>
    </row>
    <row r="766" spans="1:1" customFormat="1" ht="15" customHeight="1" x14ac:dyDescent="0.35">
      <c r="A766" s="81"/>
    </row>
    <row r="767" spans="1:1" customFormat="1" ht="15" customHeight="1" x14ac:dyDescent="0.35">
      <c r="A767" s="81"/>
    </row>
    <row r="768" spans="1:1" customFormat="1" ht="15" customHeight="1" x14ac:dyDescent="0.35">
      <c r="A768" s="81"/>
    </row>
    <row r="769" spans="1:1" customFormat="1" ht="15" customHeight="1" x14ac:dyDescent="0.35">
      <c r="A769" s="81"/>
    </row>
    <row r="770" spans="1:1" customFormat="1" ht="15" customHeight="1" x14ac:dyDescent="0.35">
      <c r="A770" s="81"/>
    </row>
    <row r="771" spans="1:1" customFormat="1" ht="15" customHeight="1" x14ac:dyDescent="0.35">
      <c r="A771" s="81"/>
    </row>
    <row r="772" spans="1:1" customFormat="1" ht="15" customHeight="1" x14ac:dyDescent="0.35">
      <c r="A772" s="81"/>
    </row>
    <row r="773" spans="1:1" customFormat="1" ht="15" customHeight="1" x14ac:dyDescent="0.35">
      <c r="A773" s="81"/>
    </row>
    <row r="774" spans="1:1" customFormat="1" ht="15" customHeight="1" x14ac:dyDescent="0.35">
      <c r="A774" s="81"/>
    </row>
    <row r="775" spans="1:1" customFormat="1" ht="15" customHeight="1" x14ac:dyDescent="0.35">
      <c r="A775" s="81"/>
    </row>
    <row r="776" spans="1:1" customFormat="1" ht="15" customHeight="1" x14ac:dyDescent="0.35">
      <c r="A776" s="81"/>
    </row>
    <row r="777" spans="1:1" customFormat="1" ht="15" customHeight="1" x14ac:dyDescent="0.35">
      <c r="A777" s="81"/>
    </row>
    <row r="778" spans="1:1" customFormat="1" ht="15" customHeight="1" x14ac:dyDescent="0.35">
      <c r="A778" s="81"/>
    </row>
    <row r="779" spans="1:1" customFormat="1" ht="15" customHeight="1" x14ac:dyDescent="0.35">
      <c r="A779" s="81"/>
    </row>
    <row r="780" spans="1:1" customFormat="1" ht="15" customHeight="1" x14ac:dyDescent="0.35">
      <c r="A780" s="81"/>
    </row>
    <row r="781" spans="1:1" customFormat="1" ht="15" customHeight="1" x14ac:dyDescent="0.35">
      <c r="A781" s="81"/>
    </row>
    <row r="782" spans="1:1" customFormat="1" ht="15" customHeight="1" x14ac:dyDescent="0.35">
      <c r="A782" s="81"/>
    </row>
    <row r="783" spans="1:1" customFormat="1" ht="15" customHeight="1" x14ac:dyDescent="0.35">
      <c r="A783" s="81"/>
    </row>
    <row r="784" spans="1:1" customFormat="1" ht="15" customHeight="1" x14ac:dyDescent="0.35">
      <c r="A784" s="81"/>
    </row>
    <row r="785" spans="1:1" customFormat="1" ht="15" customHeight="1" x14ac:dyDescent="0.35">
      <c r="A785" s="81"/>
    </row>
    <row r="786" spans="1:1" customFormat="1" ht="15" customHeight="1" x14ac:dyDescent="0.35">
      <c r="A786" s="81"/>
    </row>
    <row r="787" spans="1:1" customFormat="1" ht="15" customHeight="1" x14ac:dyDescent="0.35">
      <c r="A787" s="81"/>
    </row>
    <row r="788" spans="1:1" customFormat="1" ht="15" customHeight="1" x14ac:dyDescent="0.35">
      <c r="A788" s="81"/>
    </row>
    <row r="789" spans="1:1" customFormat="1" ht="15" customHeight="1" x14ac:dyDescent="0.35">
      <c r="A789" s="81"/>
    </row>
    <row r="790" spans="1:1" customFormat="1" ht="15" customHeight="1" x14ac:dyDescent="0.35">
      <c r="A790" s="81"/>
    </row>
    <row r="791" spans="1:1" customFormat="1" ht="15" customHeight="1" x14ac:dyDescent="0.35">
      <c r="A791" s="81"/>
    </row>
    <row r="792" spans="1:1" customFormat="1" ht="15" customHeight="1" x14ac:dyDescent="0.35">
      <c r="A792" s="81"/>
    </row>
    <row r="793" spans="1:1" customFormat="1" ht="15" customHeight="1" x14ac:dyDescent="0.35">
      <c r="A793" s="81"/>
    </row>
    <row r="794" spans="1:1" customFormat="1" ht="15" customHeight="1" x14ac:dyDescent="0.35">
      <c r="A794" s="81"/>
    </row>
    <row r="795" spans="1:1" customFormat="1" ht="15" customHeight="1" x14ac:dyDescent="0.35">
      <c r="A795" s="81"/>
    </row>
    <row r="796" spans="1:1" customFormat="1" ht="15" customHeight="1" x14ac:dyDescent="0.35">
      <c r="A796" s="81"/>
    </row>
    <row r="797" spans="1:1" customFormat="1" ht="15" customHeight="1" x14ac:dyDescent="0.35">
      <c r="A797" s="81"/>
    </row>
    <row r="798" spans="1:1" customFormat="1" ht="15" customHeight="1" x14ac:dyDescent="0.35">
      <c r="A798" s="81"/>
    </row>
    <row r="799" spans="1:1" customFormat="1" ht="15" customHeight="1" x14ac:dyDescent="0.35">
      <c r="A799" s="81"/>
    </row>
    <row r="800" spans="1:1" customFormat="1" ht="15" customHeight="1" x14ac:dyDescent="0.35">
      <c r="A800" s="81"/>
    </row>
    <row r="801" spans="1:1" customFormat="1" ht="15" customHeight="1" x14ac:dyDescent="0.35">
      <c r="A801" s="81"/>
    </row>
    <row r="802" spans="1:1" customFormat="1" ht="15" customHeight="1" x14ac:dyDescent="0.35">
      <c r="A802" s="81"/>
    </row>
    <row r="803" spans="1:1" customFormat="1" ht="15" customHeight="1" x14ac:dyDescent="0.35">
      <c r="A803" s="81"/>
    </row>
    <row r="804" spans="1:1" customFormat="1" ht="15" customHeight="1" x14ac:dyDescent="0.35">
      <c r="A804" s="81"/>
    </row>
    <row r="805" spans="1:1" customFormat="1" ht="15" customHeight="1" x14ac:dyDescent="0.35">
      <c r="A805" s="81"/>
    </row>
    <row r="806" spans="1:1" customFormat="1" ht="15" customHeight="1" x14ac:dyDescent="0.35">
      <c r="A806" s="81"/>
    </row>
    <row r="807" spans="1:1" customFormat="1" ht="15" customHeight="1" x14ac:dyDescent="0.35">
      <c r="A807" s="81"/>
    </row>
    <row r="808" spans="1:1" customFormat="1" ht="15" customHeight="1" x14ac:dyDescent="0.35">
      <c r="A808" s="81"/>
    </row>
    <row r="809" spans="1:1" customFormat="1" ht="15" customHeight="1" x14ac:dyDescent="0.35">
      <c r="A809" s="81"/>
    </row>
    <row r="810" spans="1:1" customFormat="1" ht="15" customHeight="1" x14ac:dyDescent="0.35">
      <c r="A810" s="81"/>
    </row>
    <row r="811" spans="1:1" customFormat="1" ht="15" customHeight="1" x14ac:dyDescent="0.35">
      <c r="A811" s="81"/>
    </row>
    <row r="812" spans="1:1" customFormat="1" ht="15" customHeight="1" x14ac:dyDescent="0.35">
      <c r="A812" s="81"/>
    </row>
    <row r="813" spans="1:1" customFormat="1" ht="15" customHeight="1" x14ac:dyDescent="0.35">
      <c r="A813" s="81"/>
    </row>
    <row r="814" spans="1:1" customFormat="1" ht="15" customHeight="1" x14ac:dyDescent="0.35">
      <c r="A814" s="81"/>
    </row>
    <row r="815" spans="1:1" customFormat="1" ht="15" customHeight="1" x14ac:dyDescent="0.35">
      <c r="A815" s="81"/>
    </row>
    <row r="816" spans="1:1" customFormat="1" ht="15" customHeight="1" x14ac:dyDescent="0.35">
      <c r="A816" s="81"/>
    </row>
    <row r="817" spans="1:1" customFormat="1" ht="15" customHeight="1" x14ac:dyDescent="0.35">
      <c r="A817" s="81"/>
    </row>
    <row r="818" spans="1:1" customFormat="1" ht="15" customHeight="1" x14ac:dyDescent="0.35">
      <c r="A818" s="81"/>
    </row>
    <row r="819" spans="1:1" customFormat="1" ht="15" customHeight="1" x14ac:dyDescent="0.35">
      <c r="A819" s="81"/>
    </row>
    <row r="820" spans="1:1" customFormat="1" ht="15" customHeight="1" x14ac:dyDescent="0.35">
      <c r="A820" s="81"/>
    </row>
    <row r="821" spans="1:1" customFormat="1" ht="15" customHeight="1" x14ac:dyDescent="0.35">
      <c r="A821" s="81"/>
    </row>
    <row r="822" spans="1:1" customFormat="1" ht="15" customHeight="1" x14ac:dyDescent="0.35">
      <c r="A822" s="81"/>
    </row>
    <row r="823" spans="1:1" customFormat="1" ht="15" customHeight="1" x14ac:dyDescent="0.35">
      <c r="A823" s="81"/>
    </row>
    <row r="824" spans="1:1" customFormat="1" ht="15" customHeight="1" x14ac:dyDescent="0.35">
      <c r="A824" s="81"/>
    </row>
    <row r="825" spans="1:1" customFormat="1" ht="15" customHeight="1" x14ac:dyDescent="0.35">
      <c r="A825" s="81"/>
    </row>
    <row r="826" spans="1:1" customFormat="1" ht="15" customHeight="1" x14ac:dyDescent="0.35">
      <c r="A826" s="81"/>
    </row>
    <row r="827" spans="1:1" customFormat="1" ht="15" customHeight="1" x14ac:dyDescent="0.35">
      <c r="A827" s="81"/>
    </row>
    <row r="828" spans="1:1" customFormat="1" ht="15" customHeight="1" x14ac:dyDescent="0.35">
      <c r="A828" s="81"/>
    </row>
    <row r="829" spans="1:1" customFormat="1" ht="15" customHeight="1" x14ac:dyDescent="0.35">
      <c r="A829" s="81"/>
    </row>
    <row r="830" spans="1:1" customFormat="1" ht="15" customHeight="1" x14ac:dyDescent="0.35">
      <c r="A830" s="81"/>
    </row>
    <row r="831" spans="1:1" customFormat="1" ht="15" customHeight="1" x14ac:dyDescent="0.35">
      <c r="A831" s="81"/>
    </row>
    <row r="832" spans="1:1" customFormat="1" ht="15" customHeight="1" x14ac:dyDescent="0.35">
      <c r="A832" s="81"/>
    </row>
    <row r="833" spans="1:1" customFormat="1" ht="15" customHeight="1" x14ac:dyDescent="0.35">
      <c r="A833" s="81"/>
    </row>
    <row r="834" spans="1:1" customFormat="1" ht="15" customHeight="1" x14ac:dyDescent="0.35">
      <c r="A834" s="81"/>
    </row>
    <row r="835" spans="1:1" customFormat="1" ht="15" customHeight="1" x14ac:dyDescent="0.35">
      <c r="A835" s="81"/>
    </row>
    <row r="836" spans="1:1" customFormat="1" ht="15" customHeight="1" x14ac:dyDescent="0.35">
      <c r="A836" s="81"/>
    </row>
    <row r="837" spans="1:1" customFormat="1" ht="15" customHeight="1" x14ac:dyDescent="0.35">
      <c r="A837" s="81"/>
    </row>
    <row r="838" spans="1:1" customFormat="1" ht="15" customHeight="1" x14ac:dyDescent="0.35">
      <c r="A838" s="81"/>
    </row>
    <row r="839" spans="1:1" customFormat="1" ht="15" customHeight="1" x14ac:dyDescent="0.35">
      <c r="A839" s="81"/>
    </row>
    <row r="840" spans="1:1" customFormat="1" ht="15" customHeight="1" x14ac:dyDescent="0.35">
      <c r="A840" s="81"/>
    </row>
    <row r="841" spans="1:1" customFormat="1" ht="15" customHeight="1" x14ac:dyDescent="0.35">
      <c r="A841" s="81"/>
    </row>
    <row r="842" spans="1:1" customFormat="1" ht="15" customHeight="1" x14ac:dyDescent="0.35">
      <c r="A842" s="81"/>
    </row>
    <row r="843" spans="1:1" customFormat="1" ht="15" customHeight="1" x14ac:dyDescent="0.35">
      <c r="A843" s="81"/>
    </row>
    <row r="844" spans="1:1" customFormat="1" ht="15" customHeight="1" x14ac:dyDescent="0.35">
      <c r="A844" s="81"/>
    </row>
    <row r="845" spans="1:1" customFormat="1" ht="15" customHeight="1" x14ac:dyDescent="0.35">
      <c r="A845" s="81"/>
    </row>
    <row r="846" spans="1:1" customFormat="1" ht="15" customHeight="1" x14ac:dyDescent="0.35">
      <c r="A846" s="81"/>
    </row>
    <row r="847" spans="1:1" customFormat="1" ht="15" customHeight="1" x14ac:dyDescent="0.35">
      <c r="A847" s="81"/>
    </row>
    <row r="848" spans="1:1" customFormat="1" ht="15" customHeight="1" x14ac:dyDescent="0.35">
      <c r="A848" s="81"/>
    </row>
    <row r="849" spans="1:1" customFormat="1" ht="15" customHeight="1" x14ac:dyDescent="0.35">
      <c r="A849" s="81"/>
    </row>
    <row r="850" spans="1:1" customFormat="1" ht="15" customHeight="1" x14ac:dyDescent="0.35">
      <c r="A850" s="81"/>
    </row>
    <row r="851" spans="1:1" customFormat="1" ht="15" customHeight="1" x14ac:dyDescent="0.35">
      <c r="A851" s="81"/>
    </row>
    <row r="852" spans="1:1" customFormat="1" ht="15" customHeight="1" x14ac:dyDescent="0.35">
      <c r="A852" s="81"/>
    </row>
    <row r="853" spans="1:1" customFormat="1" ht="15" customHeight="1" x14ac:dyDescent="0.35">
      <c r="A853" s="81"/>
    </row>
    <row r="854" spans="1:1" customFormat="1" ht="15" customHeight="1" x14ac:dyDescent="0.35">
      <c r="A854" s="81"/>
    </row>
    <row r="855" spans="1:1" customFormat="1" ht="15" customHeight="1" x14ac:dyDescent="0.35">
      <c r="A855" s="81"/>
    </row>
    <row r="856" spans="1:1" customFormat="1" ht="15" customHeight="1" x14ac:dyDescent="0.35">
      <c r="A856" s="81"/>
    </row>
    <row r="857" spans="1:1" customFormat="1" ht="15" customHeight="1" x14ac:dyDescent="0.35">
      <c r="A857" s="81"/>
    </row>
    <row r="858" spans="1:1" customFormat="1" ht="15" customHeight="1" x14ac:dyDescent="0.35">
      <c r="A858" s="81"/>
    </row>
    <row r="859" spans="1:1" customFormat="1" ht="15" customHeight="1" x14ac:dyDescent="0.35">
      <c r="A859" s="81"/>
    </row>
    <row r="860" spans="1:1" customFormat="1" ht="15" customHeight="1" x14ac:dyDescent="0.35">
      <c r="A860" s="81"/>
    </row>
    <row r="861" spans="1:1" customFormat="1" ht="15" customHeight="1" x14ac:dyDescent="0.35">
      <c r="A861" s="81"/>
    </row>
    <row r="862" spans="1:1" customFormat="1" ht="15" customHeight="1" x14ac:dyDescent="0.35">
      <c r="A862" s="81"/>
    </row>
    <row r="863" spans="1:1" customFormat="1" ht="15" customHeight="1" x14ac:dyDescent="0.35">
      <c r="A863" s="81"/>
    </row>
    <row r="864" spans="1:1" customFormat="1" ht="15" customHeight="1" x14ac:dyDescent="0.35">
      <c r="A864" s="81"/>
    </row>
    <row r="865" spans="1:1" customFormat="1" ht="15" customHeight="1" x14ac:dyDescent="0.35">
      <c r="A865" s="81"/>
    </row>
    <row r="866" spans="1:1" customFormat="1" ht="15" customHeight="1" x14ac:dyDescent="0.35">
      <c r="A866" s="81"/>
    </row>
    <row r="867" spans="1:1" customFormat="1" ht="15" customHeight="1" x14ac:dyDescent="0.35">
      <c r="A867" s="81"/>
    </row>
    <row r="868" spans="1:1" customFormat="1" ht="15" customHeight="1" x14ac:dyDescent="0.35">
      <c r="A868" s="81"/>
    </row>
    <row r="869" spans="1:1" customFormat="1" ht="15" customHeight="1" x14ac:dyDescent="0.35">
      <c r="A869" s="81"/>
    </row>
    <row r="870" spans="1:1" customFormat="1" ht="15" customHeight="1" x14ac:dyDescent="0.35">
      <c r="A870" s="81"/>
    </row>
    <row r="871" spans="1:1" customFormat="1" ht="15" customHeight="1" x14ac:dyDescent="0.35">
      <c r="A871" s="81"/>
    </row>
    <row r="872" spans="1:1" customFormat="1" ht="15" customHeight="1" x14ac:dyDescent="0.35">
      <c r="A872" s="81"/>
    </row>
    <row r="873" spans="1:1" customFormat="1" ht="15" customHeight="1" x14ac:dyDescent="0.35">
      <c r="A873" s="81"/>
    </row>
    <row r="874" spans="1:1" customFormat="1" ht="15" customHeight="1" x14ac:dyDescent="0.35">
      <c r="A874" s="81"/>
    </row>
    <row r="875" spans="1:1" customFormat="1" ht="15" customHeight="1" x14ac:dyDescent="0.35">
      <c r="A875" s="81"/>
    </row>
    <row r="876" spans="1:1" customFormat="1" ht="15" customHeight="1" x14ac:dyDescent="0.35">
      <c r="A876" s="81"/>
    </row>
    <row r="877" spans="1:1" customFormat="1" ht="15" customHeight="1" x14ac:dyDescent="0.35">
      <c r="A877" s="81"/>
    </row>
    <row r="878" spans="1:1" customFormat="1" ht="15" customHeight="1" x14ac:dyDescent="0.35">
      <c r="A878" s="81"/>
    </row>
    <row r="879" spans="1:1" customFormat="1" ht="15" customHeight="1" x14ac:dyDescent="0.35">
      <c r="A879" s="81"/>
    </row>
    <row r="880" spans="1:1" customFormat="1" ht="15" customHeight="1" x14ac:dyDescent="0.35">
      <c r="A880" s="81"/>
    </row>
    <row r="881" spans="1:1" customFormat="1" ht="15" customHeight="1" x14ac:dyDescent="0.35">
      <c r="A881" s="81"/>
    </row>
    <row r="882" spans="1:1" customFormat="1" ht="15" customHeight="1" x14ac:dyDescent="0.35">
      <c r="A882" s="81"/>
    </row>
    <row r="883" spans="1:1" customFormat="1" ht="15" customHeight="1" x14ac:dyDescent="0.35">
      <c r="A883" s="81"/>
    </row>
    <row r="884" spans="1:1" customFormat="1" ht="15" customHeight="1" x14ac:dyDescent="0.35">
      <c r="A884" s="81"/>
    </row>
    <row r="885" spans="1:1" customFormat="1" ht="15" customHeight="1" x14ac:dyDescent="0.35">
      <c r="A885" s="81"/>
    </row>
    <row r="886" spans="1:1" customFormat="1" ht="15" customHeight="1" x14ac:dyDescent="0.35">
      <c r="A886" s="81"/>
    </row>
    <row r="887" spans="1:1" customFormat="1" ht="15" customHeight="1" x14ac:dyDescent="0.35">
      <c r="A887" s="81"/>
    </row>
    <row r="888" spans="1:1" customFormat="1" ht="15" customHeight="1" x14ac:dyDescent="0.35">
      <c r="A888" s="81"/>
    </row>
    <row r="889" spans="1:1" customFormat="1" ht="15" customHeight="1" x14ac:dyDescent="0.35">
      <c r="A889" s="81"/>
    </row>
    <row r="890" spans="1:1" customFormat="1" ht="15" customHeight="1" x14ac:dyDescent="0.35">
      <c r="A890" s="81"/>
    </row>
    <row r="891" spans="1:1" customFormat="1" ht="15" customHeight="1" x14ac:dyDescent="0.35">
      <c r="A891" s="81"/>
    </row>
    <row r="892" spans="1:1" customFormat="1" ht="15" customHeight="1" x14ac:dyDescent="0.35">
      <c r="A892" s="81"/>
    </row>
    <row r="893" spans="1:1" customFormat="1" ht="15" customHeight="1" x14ac:dyDescent="0.35">
      <c r="A893" s="81"/>
    </row>
    <row r="894" spans="1:1" customFormat="1" ht="15" customHeight="1" x14ac:dyDescent="0.35">
      <c r="A894" s="81"/>
    </row>
    <row r="895" spans="1:1" customFormat="1" ht="15" customHeight="1" x14ac:dyDescent="0.35">
      <c r="A895" s="81"/>
    </row>
    <row r="896" spans="1:1" customFormat="1" ht="15" customHeight="1" x14ac:dyDescent="0.35">
      <c r="A896" s="81"/>
    </row>
    <row r="897" spans="1:1" customFormat="1" ht="15" customHeight="1" x14ac:dyDescent="0.35">
      <c r="A897" s="81"/>
    </row>
    <row r="898" spans="1:1" customFormat="1" ht="15" customHeight="1" x14ac:dyDescent="0.35">
      <c r="A898" s="81"/>
    </row>
    <row r="899" spans="1:1" customFormat="1" ht="15" customHeight="1" x14ac:dyDescent="0.35">
      <c r="A899" s="81"/>
    </row>
    <row r="900" spans="1:1" customFormat="1" ht="15" customHeight="1" x14ac:dyDescent="0.35">
      <c r="A900" s="81"/>
    </row>
    <row r="901" spans="1:1" customFormat="1" ht="15" customHeight="1" x14ac:dyDescent="0.35">
      <c r="A901" s="81"/>
    </row>
    <row r="902" spans="1:1" customFormat="1" ht="15" customHeight="1" x14ac:dyDescent="0.35">
      <c r="A902" s="81"/>
    </row>
    <row r="903" spans="1:1" customFormat="1" ht="15" customHeight="1" x14ac:dyDescent="0.35">
      <c r="A903" s="81"/>
    </row>
    <row r="904" spans="1:1" customFormat="1" ht="15" customHeight="1" x14ac:dyDescent="0.35">
      <c r="A904" s="81"/>
    </row>
    <row r="905" spans="1:1" customFormat="1" ht="15" customHeight="1" x14ac:dyDescent="0.35">
      <c r="A905" s="81"/>
    </row>
    <row r="906" spans="1:1" customFormat="1" ht="15" customHeight="1" x14ac:dyDescent="0.35">
      <c r="A906" s="81"/>
    </row>
    <row r="907" spans="1:1" customFormat="1" ht="15" customHeight="1" x14ac:dyDescent="0.35">
      <c r="A907" s="81"/>
    </row>
    <row r="908" spans="1:1" customFormat="1" ht="15" customHeight="1" x14ac:dyDescent="0.35">
      <c r="A908" s="81"/>
    </row>
    <row r="909" spans="1:1" customFormat="1" ht="15" customHeight="1" x14ac:dyDescent="0.35">
      <c r="A909" s="81"/>
    </row>
    <row r="910" spans="1:1" customFormat="1" ht="15" customHeight="1" x14ac:dyDescent="0.35">
      <c r="A910" s="81"/>
    </row>
    <row r="911" spans="1:1" customFormat="1" ht="15" customHeight="1" x14ac:dyDescent="0.35">
      <c r="A911" s="81"/>
    </row>
    <row r="912" spans="1:1" customFormat="1" ht="15" customHeight="1" x14ac:dyDescent="0.35">
      <c r="A912" s="81"/>
    </row>
    <row r="913" spans="1:1" customFormat="1" ht="15" customHeight="1" x14ac:dyDescent="0.35">
      <c r="A913" s="81"/>
    </row>
    <row r="914" spans="1:1" customFormat="1" ht="15" customHeight="1" x14ac:dyDescent="0.35">
      <c r="A914" s="81"/>
    </row>
    <row r="915" spans="1:1" customFormat="1" ht="15" customHeight="1" x14ac:dyDescent="0.35">
      <c r="A915" s="81"/>
    </row>
    <row r="916" spans="1:1" customFormat="1" ht="15" customHeight="1" x14ac:dyDescent="0.35">
      <c r="A916" s="81"/>
    </row>
    <row r="917" spans="1:1" customFormat="1" ht="15" customHeight="1" x14ac:dyDescent="0.35">
      <c r="A917" s="81"/>
    </row>
    <row r="918" spans="1:1" customFormat="1" ht="15" customHeight="1" x14ac:dyDescent="0.35">
      <c r="A918" s="81"/>
    </row>
    <row r="919" spans="1:1" customFormat="1" ht="15" customHeight="1" x14ac:dyDescent="0.35">
      <c r="A919" s="81"/>
    </row>
    <row r="920" spans="1:1" customFormat="1" ht="15" customHeight="1" x14ac:dyDescent="0.35">
      <c r="A920" s="81"/>
    </row>
    <row r="921" spans="1:1" customFormat="1" ht="15" customHeight="1" x14ac:dyDescent="0.35">
      <c r="A921" s="81"/>
    </row>
    <row r="922" spans="1:1" customFormat="1" ht="15" customHeight="1" x14ac:dyDescent="0.35">
      <c r="A922" s="81"/>
    </row>
    <row r="923" spans="1:1" customFormat="1" ht="15" customHeight="1" x14ac:dyDescent="0.35">
      <c r="A923" s="81"/>
    </row>
    <row r="924" spans="1:1" customFormat="1" ht="15" customHeight="1" x14ac:dyDescent="0.35">
      <c r="A924" s="81"/>
    </row>
    <row r="925" spans="1:1" customFormat="1" ht="15" customHeight="1" x14ac:dyDescent="0.35">
      <c r="A925" s="81"/>
    </row>
    <row r="926" spans="1:1" customFormat="1" ht="15" customHeight="1" x14ac:dyDescent="0.35">
      <c r="A926" s="81"/>
    </row>
    <row r="927" spans="1:1" customFormat="1" ht="15" customHeight="1" x14ac:dyDescent="0.35">
      <c r="A927" s="81"/>
    </row>
    <row r="928" spans="1:1" customFormat="1" ht="15" customHeight="1" x14ac:dyDescent="0.35">
      <c r="A928" s="81"/>
    </row>
    <row r="929" spans="1:1" customFormat="1" ht="15" customHeight="1" x14ac:dyDescent="0.35">
      <c r="A929" s="81"/>
    </row>
    <row r="930" spans="1:1" customFormat="1" ht="15" customHeight="1" x14ac:dyDescent="0.35">
      <c r="A930" s="81"/>
    </row>
    <row r="931" spans="1:1" customFormat="1" ht="15" customHeight="1" x14ac:dyDescent="0.35">
      <c r="A931" s="81"/>
    </row>
    <row r="932" spans="1:1" customFormat="1" ht="15" customHeight="1" x14ac:dyDescent="0.35">
      <c r="A932" s="81"/>
    </row>
    <row r="933" spans="1:1" customFormat="1" ht="15" customHeight="1" x14ac:dyDescent="0.35">
      <c r="A933" s="81"/>
    </row>
    <row r="934" spans="1:1" customFormat="1" ht="15" customHeight="1" x14ac:dyDescent="0.35">
      <c r="A934" s="81"/>
    </row>
    <row r="935" spans="1:1" customFormat="1" ht="15" customHeight="1" x14ac:dyDescent="0.35">
      <c r="A935" s="81"/>
    </row>
    <row r="936" spans="1:1" customFormat="1" ht="15" customHeight="1" x14ac:dyDescent="0.35">
      <c r="A936" s="81"/>
    </row>
    <row r="937" spans="1:1" customFormat="1" ht="15" customHeight="1" x14ac:dyDescent="0.35">
      <c r="A937" s="81"/>
    </row>
    <row r="938" spans="1:1" customFormat="1" ht="15" customHeight="1" x14ac:dyDescent="0.35">
      <c r="A938" s="81"/>
    </row>
    <row r="939" spans="1:1" customFormat="1" ht="15" customHeight="1" x14ac:dyDescent="0.35">
      <c r="A939" s="81"/>
    </row>
    <row r="940" spans="1:1" customFormat="1" ht="15" customHeight="1" x14ac:dyDescent="0.35">
      <c r="A940" s="81"/>
    </row>
    <row r="941" spans="1:1" customFormat="1" ht="15" customHeight="1" x14ac:dyDescent="0.35">
      <c r="A941" s="81"/>
    </row>
    <row r="942" spans="1:1" customFormat="1" ht="15" customHeight="1" x14ac:dyDescent="0.35">
      <c r="A942" s="81"/>
    </row>
    <row r="943" spans="1:1" customFormat="1" ht="15" customHeight="1" x14ac:dyDescent="0.35">
      <c r="A943" s="81"/>
    </row>
    <row r="944" spans="1:1" customFormat="1" ht="15" customHeight="1" x14ac:dyDescent="0.35">
      <c r="A944" s="81"/>
    </row>
    <row r="945" spans="1:1" customFormat="1" ht="15" customHeight="1" x14ac:dyDescent="0.35">
      <c r="A945" s="81"/>
    </row>
    <row r="946" spans="1:1" customFormat="1" ht="15" customHeight="1" x14ac:dyDescent="0.35">
      <c r="A946" s="81"/>
    </row>
    <row r="947" spans="1:1" customFormat="1" ht="15" customHeight="1" x14ac:dyDescent="0.35">
      <c r="A947" s="81"/>
    </row>
    <row r="948" spans="1:1" customFormat="1" ht="15" customHeight="1" x14ac:dyDescent="0.35">
      <c r="A948" s="81"/>
    </row>
    <row r="949" spans="1:1" customFormat="1" ht="15" customHeight="1" x14ac:dyDescent="0.35">
      <c r="A949" s="81"/>
    </row>
    <row r="950" spans="1:1" customFormat="1" ht="15" customHeight="1" x14ac:dyDescent="0.35">
      <c r="A950" s="81"/>
    </row>
    <row r="951" spans="1:1" customFormat="1" ht="15" customHeight="1" x14ac:dyDescent="0.35">
      <c r="A951" s="81"/>
    </row>
    <row r="952" spans="1:1" customFormat="1" ht="15" customHeight="1" x14ac:dyDescent="0.35">
      <c r="A952" s="81"/>
    </row>
    <row r="953" spans="1:1" customFormat="1" ht="15" customHeight="1" x14ac:dyDescent="0.35">
      <c r="A953" s="81"/>
    </row>
    <row r="954" spans="1:1" customFormat="1" ht="15" customHeight="1" x14ac:dyDescent="0.35">
      <c r="A954" s="81"/>
    </row>
    <row r="955" spans="1:1" customFormat="1" ht="15" customHeight="1" x14ac:dyDescent="0.35">
      <c r="A955" s="81"/>
    </row>
    <row r="956" spans="1:1" customFormat="1" ht="15" customHeight="1" x14ac:dyDescent="0.35">
      <c r="A956" s="81"/>
    </row>
    <row r="957" spans="1:1" customFormat="1" ht="15" customHeight="1" x14ac:dyDescent="0.35">
      <c r="A957" s="81"/>
    </row>
    <row r="958" spans="1:1" customFormat="1" ht="15" customHeight="1" x14ac:dyDescent="0.35">
      <c r="A958" s="81"/>
    </row>
    <row r="959" spans="1:1" customFormat="1" ht="15" customHeight="1" x14ac:dyDescent="0.35">
      <c r="A959" s="81"/>
    </row>
    <row r="960" spans="1:1" customFormat="1" ht="15" customHeight="1" x14ac:dyDescent="0.35">
      <c r="A960" s="81"/>
    </row>
    <row r="961" spans="1:1" customFormat="1" ht="15" customHeight="1" x14ac:dyDescent="0.35">
      <c r="A961" s="81"/>
    </row>
    <row r="962" spans="1:1" customFormat="1" ht="15" customHeight="1" x14ac:dyDescent="0.35">
      <c r="A962" s="81"/>
    </row>
    <row r="963" spans="1:1" customFormat="1" ht="15" customHeight="1" x14ac:dyDescent="0.35">
      <c r="A963" s="81"/>
    </row>
    <row r="964" spans="1:1" customFormat="1" ht="15" customHeight="1" x14ac:dyDescent="0.35">
      <c r="A964" s="81"/>
    </row>
    <row r="965" spans="1:1" customFormat="1" ht="15" customHeight="1" x14ac:dyDescent="0.35">
      <c r="A965" s="81"/>
    </row>
    <row r="966" spans="1:1" customFormat="1" ht="15" customHeight="1" x14ac:dyDescent="0.35">
      <c r="A966" s="81"/>
    </row>
    <row r="967" spans="1:1" customFormat="1" ht="15" customHeight="1" x14ac:dyDescent="0.35">
      <c r="A967" s="81"/>
    </row>
    <row r="968" spans="1:1" customFormat="1" ht="15" customHeight="1" x14ac:dyDescent="0.35">
      <c r="A968" s="81"/>
    </row>
    <row r="969" spans="1:1" customFormat="1" ht="15" customHeight="1" x14ac:dyDescent="0.35">
      <c r="A969" s="81"/>
    </row>
    <row r="970" spans="1:1" customFormat="1" ht="15" customHeight="1" x14ac:dyDescent="0.35">
      <c r="A970" s="81"/>
    </row>
    <row r="971" spans="1:1" customFormat="1" ht="15" customHeight="1" x14ac:dyDescent="0.35">
      <c r="A971" s="81"/>
    </row>
    <row r="972" spans="1:1" customFormat="1" ht="15" customHeight="1" x14ac:dyDescent="0.35">
      <c r="A972" s="81"/>
    </row>
    <row r="973" spans="1:1" customFormat="1" ht="15" customHeight="1" x14ac:dyDescent="0.35">
      <c r="A973" s="81"/>
    </row>
    <row r="974" spans="1:1" customFormat="1" ht="15" customHeight="1" x14ac:dyDescent="0.35">
      <c r="A974" s="81"/>
    </row>
    <row r="975" spans="1:1" customFormat="1" ht="15" customHeight="1" x14ac:dyDescent="0.35">
      <c r="A975" s="81"/>
    </row>
    <row r="976" spans="1:1" customFormat="1" ht="15" customHeight="1" x14ac:dyDescent="0.35">
      <c r="A976" s="81"/>
    </row>
    <row r="977" spans="1:1" customFormat="1" ht="15" customHeight="1" x14ac:dyDescent="0.35">
      <c r="A977" s="81"/>
    </row>
    <row r="978" spans="1:1" customFormat="1" ht="15" customHeight="1" x14ac:dyDescent="0.35">
      <c r="A978" s="81"/>
    </row>
    <row r="979" spans="1:1" customFormat="1" ht="15" customHeight="1" x14ac:dyDescent="0.35">
      <c r="A979" s="81"/>
    </row>
    <row r="980" spans="1:1" customFormat="1" ht="15" customHeight="1" x14ac:dyDescent="0.35">
      <c r="A980" s="81"/>
    </row>
    <row r="981" spans="1:1" customFormat="1" ht="15" customHeight="1" x14ac:dyDescent="0.35">
      <c r="A981" s="81"/>
    </row>
    <row r="982" spans="1:1" customFormat="1" ht="15" customHeight="1" x14ac:dyDescent="0.35">
      <c r="A982" s="81"/>
    </row>
    <row r="983" spans="1:1" customFormat="1" ht="15" customHeight="1" x14ac:dyDescent="0.35">
      <c r="A983" s="81"/>
    </row>
    <row r="984" spans="1:1" customFormat="1" ht="15" customHeight="1" x14ac:dyDescent="0.35">
      <c r="A984" s="81"/>
    </row>
    <row r="985" spans="1:1" customFormat="1" ht="15" customHeight="1" x14ac:dyDescent="0.35">
      <c r="A985" s="81"/>
    </row>
    <row r="986" spans="1:1" customFormat="1" ht="15" customHeight="1" x14ac:dyDescent="0.35">
      <c r="A986" s="81"/>
    </row>
    <row r="987" spans="1:1" customFormat="1" ht="15" customHeight="1" x14ac:dyDescent="0.35">
      <c r="A987" s="81"/>
    </row>
    <row r="988" spans="1:1" customFormat="1" ht="15" customHeight="1" x14ac:dyDescent="0.35">
      <c r="A988" s="81"/>
    </row>
    <row r="989" spans="1:1" customFormat="1" ht="15" customHeight="1" x14ac:dyDescent="0.35">
      <c r="A989" s="81"/>
    </row>
    <row r="990" spans="1:1" customFormat="1" ht="15" customHeight="1" x14ac:dyDescent="0.35">
      <c r="A990" s="81"/>
    </row>
    <row r="991" spans="1:1" customFormat="1" ht="15" customHeight="1" x14ac:dyDescent="0.35">
      <c r="A991" s="81"/>
    </row>
    <row r="992" spans="1:1" customFormat="1" ht="15" customHeight="1" x14ac:dyDescent="0.35">
      <c r="A992" s="81"/>
    </row>
    <row r="993" spans="1:1" customFormat="1" ht="15" customHeight="1" x14ac:dyDescent="0.35">
      <c r="A993" s="81"/>
    </row>
    <row r="994" spans="1:1" customFormat="1" ht="15" customHeight="1" x14ac:dyDescent="0.35">
      <c r="A994" s="81"/>
    </row>
    <row r="995" spans="1:1" customFormat="1" ht="15" customHeight="1" x14ac:dyDescent="0.35">
      <c r="A995" s="81"/>
    </row>
    <row r="996" spans="1:1" customFormat="1" ht="15" customHeight="1" x14ac:dyDescent="0.35">
      <c r="A996" s="81"/>
    </row>
    <row r="997" spans="1:1" customFormat="1" ht="15" customHeight="1" x14ac:dyDescent="0.35">
      <c r="A997" s="81"/>
    </row>
    <row r="998" spans="1:1" customFormat="1" ht="15" customHeight="1" x14ac:dyDescent="0.35">
      <c r="A998" s="81"/>
    </row>
    <row r="999" spans="1:1" customFormat="1" ht="15" customHeight="1" x14ac:dyDescent="0.35">
      <c r="A999" s="81"/>
    </row>
    <row r="1000" spans="1:1" customFormat="1" ht="15" customHeight="1" x14ac:dyDescent="0.35">
      <c r="A1000" s="81"/>
    </row>
    <row r="1001" spans="1:1" customFormat="1" ht="15" customHeight="1" x14ac:dyDescent="0.35">
      <c r="A1001" s="81"/>
    </row>
    <row r="1002" spans="1:1" customFormat="1" ht="15" customHeight="1" x14ac:dyDescent="0.35">
      <c r="A1002" s="81"/>
    </row>
    <row r="1003" spans="1:1" customFormat="1" ht="15" customHeight="1" x14ac:dyDescent="0.35">
      <c r="A1003" s="81"/>
    </row>
    <row r="1004" spans="1:1" customFormat="1" ht="15" customHeight="1" x14ac:dyDescent="0.35">
      <c r="A1004" s="81"/>
    </row>
    <row r="1005" spans="1:1" customFormat="1" ht="15" customHeight="1" x14ac:dyDescent="0.35">
      <c r="A1005" s="81"/>
    </row>
    <row r="1006" spans="1:1" customFormat="1" ht="15" customHeight="1" x14ac:dyDescent="0.35">
      <c r="A1006" s="81"/>
    </row>
    <row r="1007" spans="1:1" customFormat="1" ht="15" customHeight="1" x14ac:dyDescent="0.35">
      <c r="A1007" s="81"/>
    </row>
    <row r="1008" spans="1:1" customFormat="1" ht="15" customHeight="1" x14ac:dyDescent="0.35">
      <c r="A1008" s="81"/>
    </row>
    <row r="1009" spans="1:1" customFormat="1" ht="15" customHeight="1" x14ac:dyDescent="0.35">
      <c r="A1009" s="81"/>
    </row>
    <row r="1010" spans="1:1" customFormat="1" ht="15" customHeight="1" x14ac:dyDescent="0.35">
      <c r="A1010" s="81"/>
    </row>
    <row r="1011" spans="1:1" customFormat="1" ht="15" customHeight="1" x14ac:dyDescent="0.35">
      <c r="A1011" s="81"/>
    </row>
    <row r="1012" spans="1:1" customFormat="1" ht="15" customHeight="1" x14ac:dyDescent="0.35">
      <c r="A1012" s="81"/>
    </row>
    <row r="1013" spans="1:1" customFormat="1" ht="15" customHeight="1" x14ac:dyDescent="0.35">
      <c r="A1013" s="81"/>
    </row>
    <row r="1014" spans="1:1" customFormat="1" ht="15" customHeight="1" x14ac:dyDescent="0.35">
      <c r="A1014" s="81"/>
    </row>
    <row r="1015" spans="1:1" customFormat="1" ht="15" customHeight="1" x14ac:dyDescent="0.35">
      <c r="A1015" s="81"/>
    </row>
    <row r="1016" spans="1:1" customFormat="1" ht="15" customHeight="1" x14ac:dyDescent="0.35">
      <c r="A1016" s="81"/>
    </row>
    <row r="1017" spans="1:1" customFormat="1" ht="15" customHeight="1" x14ac:dyDescent="0.35">
      <c r="A1017" s="81"/>
    </row>
    <row r="1018" spans="1:1" customFormat="1" ht="15" customHeight="1" x14ac:dyDescent="0.35">
      <c r="A1018" s="81"/>
    </row>
    <row r="1019" spans="1:1" customFormat="1" ht="15" customHeight="1" x14ac:dyDescent="0.35">
      <c r="A1019" s="81"/>
    </row>
    <row r="1020" spans="1:1" customFormat="1" ht="15" customHeight="1" x14ac:dyDescent="0.35">
      <c r="A1020" s="81"/>
    </row>
    <row r="1021" spans="1:1" customFormat="1" ht="15" customHeight="1" x14ac:dyDescent="0.35">
      <c r="A1021" s="81"/>
    </row>
    <row r="1022" spans="1:1" customFormat="1" ht="15" customHeight="1" x14ac:dyDescent="0.35">
      <c r="A1022" s="81"/>
    </row>
    <row r="1023" spans="1:1" customFormat="1" ht="15" customHeight="1" x14ac:dyDescent="0.35">
      <c r="A1023" s="81"/>
    </row>
    <row r="1024" spans="1:1" customFormat="1" ht="15" customHeight="1" x14ac:dyDescent="0.35">
      <c r="A1024" s="81"/>
    </row>
    <row r="1025" spans="1:1" customFormat="1" ht="15" customHeight="1" x14ac:dyDescent="0.35">
      <c r="A1025" s="81"/>
    </row>
    <row r="1026" spans="1:1" customFormat="1" ht="15" customHeight="1" x14ac:dyDescent="0.35">
      <c r="A1026" s="81"/>
    </row>
    <row r="1027" spans="1:1" customFormat="1" ht="15" customHeight="1" x14ac:dyDescent="0.35">
      <c r="A1027" s="81"/>
    </row>
    <row r="1028" spans="1:1" customFormat="1" ht="15" customHeight="1" x14ac:dyDescent="0.35">
      <c r="A1028" s="81"/>
    </row>
    <row r="1029" spans="1:1" customFormat="1" ht="15" customHeight="1" x14ac:dyDescent="0.35">
      <c r="A1029" s="81"/>
    </row>
    <row r="1030" spans="1:1" customFormat="1" ht="15" customHeight="1" x14ac:dyDescent="0.35">
      <c r="A1030" s="81"/>
    </row>
    <row r="1031" spans="1:1" customFormat="1" ht="15" customHeight="1" x14ac:dyDescent="0.35">
      <c r="A1031" s="81"/>
    </row>
    <row r="1032" spans="1:1" customFormat="1" ht="15" customHeight="1" x14ac:dyDescent="0.35">
      <c r="A1032" s="81"/>
    </row>
    <row r="1033" spans="1:1" customFormat="1" ht="15" customHeight="1" x14ac:dyDescent="0.35">
      <c r="A1033" s="81"/>
    </row>
    <row r="1034" spans="1:1" customFormat="1" ht="15" customHeight="1" x14ac:dyDescent="0.35">
      <c r="A1034" s="81"/>
    </row>
    <row r="1035" spans="1:1" customFormat="1" ht="15" customHeight="1" x14ac:dyDescent="0.35">
      <c r="A1035" s="81"/>
    </row>
    <row r="1036" spans="1:1" customFormat="1" ht="15" customHeight="1" x14ac:dyDescent="0.35">
      <c r="A1036" s="81"/>
    </row>
    <row r="1037" spans="1:1" customFormat="1" ht="15" customHeight="1" x14ac:dyDescent="0.35">
      <c r="A1037" s="81"/>
    </row>
    <row r="1038" spans="1:1" customFormat="1" ht="15" customHeight="1" x14ac:dyDescent="0.35">
      <c r="A1038" s="81"/>
    </row>
    <row r="1039" spans="1:1" customFormat="1" ht="15" customHeight="1" x14ac:dyDescent="0.35">
      <c r="A1039" s="81"/>
    </row>
    <row r="1040" spans="1:1" customFormat="1" ht="15" customHeight="1" x14ac:dyDescent="0.35">
      <c r="A1040" s="81"/>
    </row>
    <row r="1041" spans="1:1" customFormat="1" ht="15" customHeight="1" x14ac:dyDescent="0.35">
      <c r="A1041" s="81"/>
    </row>
    <row r="1042" spans="1:1" customFormat="1" ht="15" customHeight="1" x14ac:dyDescent="0.35">
      <c r="A1042" s="81"/>
    </row>
    <row r="1043" spans="1:1" customFormat="1" ht="15" customHeight="1" x14ac:dyDescent="0.35">
      <c r="A1043" s="81"/>
    </row>
    <row r="1044" spans="1:1" customFormat="1" ht="15" customHeight="1" x14ac:dyDescent="0.35">
      <c r="A1044" s="81"/>
    </row>
    <row r="1045" spans="1:1" customFormat="1" ht="15" customHeight="1" x14ac:dyDescent="0.35">
      <c r="A1045" s="81"/>
    </row>
    <row r="1046" spans="1:1" customFormat="1" ht="15" customHeight="1" x14ac:dyDescent="0.35">
      <c r="A1046" s="81"/>
    </row>
    <row r="1047" spans="1:1" customFormat="1" ht="15" customHeight="1" x14ac:dyDescent="0.35">
      <c r="A1047" s="81"/>
    </row>
    <row r="1048" spans="1:1" customFormat="1" ht="15" customHeight="1" x14ac:dyDescent="0.35">
      <c r="A1048" s="81"/>
    </row>
    <row r="1049" spans="1:1" customFormat="1" ht="15" customHeight="1" x14ac:dyDescent="0.35">
      <c r="A1049" s="81"/>
    </row>
    <row r="1050" spans="1:1" customFormat="1" ht="15" customHeight="1" x14ac:dyDescent="0.35">
      <c r="A1050" s="81"/>
    </row>
    <row r="1051" spans="1:1" customFormat="1" ht="15" customHeight="1" x14ac:dyDescent="0.35">
      <c r="A1051" s="81"/>
    </row>
    <row r="1052" spans="1:1" customFormat="1" ht="15" customHeight="1" x14ac:dyDescent="0.35">
      <c r="A1052" s="81"/>
    </row>
    <row r="1053" spans="1:1" customFormat="1" ht="15" customHeight="1" x14ac:dyDescent="0.35">
      <c r="A1053" s="81"/>
    </row>
    <row r="1054" spans="1:1" customFormat="1" ht="15" customHeight="1" x14ac:dyDescent="0.35">
      <c r="A1054" s="81"/>
    </row>
    <row r="1055" spans="1:1" customFormat="1" ht="15" customHeight="1" x14ac:dyDescent="0.35">
      <c r="A1055" s="81"/>
    </row>
    <row r="1056" spans="1:1" customFormat="1" ht="15" customHeight="1" x14ac:dyDescent="0.35">
      <c r="A1056" s="81"/>
    </row>
    <row r="1057" spans="1:1" customFormat="1" ht="15" customHeight="1" x14ac:dyDescent="0.35">
      <c r="A1057" s="81"/>
    </row>
    <row r="1058" spans="1:1" customFormat="1" ht="15" customHeight="1" x14ac:dyDescent="0.35">
      <c r="A1058" s="81"/>
    </row>
    <row r="1059" spans="1:1" customFormat="1" ht="15" customHeight="1" x14ac:dyDescent="0.35">
      <c r="A1059" s="81"/>
    </row>
    <row r="1060" spans="1:1" customFormat="1" ht="15" customHeight="1" x14ac:dyDescent="0.35">
      <c r="A1060" s="81"/>
    </row>
    <row r="1061" spans="1:1" customFormat="1" ht="15" customHeight="1" x14ac:dyDescent="0.35">
      <c r="A1061" s="81"/>
    </row>
    <row r="1062" spans="1:1" customFormat="1" ht="15" customHeight="1" x14ac:dyDescent="0.35">
      <c r="A1062" s="81"/>
    </row>
    <row r="1063" spans="1:1" customFormat="1" ht="15" customHeight="1" x14ac:dyDescent="0.35">
      <c r="A1063" s="81"/>
    </row>
    <row r="1064" spans="1:1" customFormat="1" ht="15" customHeight="1" x14ac:dyDescent="0.35">
      <c r="A1064" s="81"/>
    </row>
    <row r="1065" spans="1:1" customFormat="1" ht="15" customHeight="1" x14ac:dyDescent="0.35">
      <c r="A1065" s="81"/>
    </row>
    <row r="1066" spans="1:1" customFormat="1" ht="15" customHeight="1" x14ac:dyDescent="0.35">
      <c r="A1066" s="81"/>
    </row>
    <row r="1067" spans="1:1" customFormat="1" ht="15" customHeight="1" x14ac:dyDescent="0.35">
      <c r="A1067" s="81"/>
    </row>
    <row r="1068" spans="1:1" customFormat="1" ht="15" customHeight="1" x14ac:dyDescent="0.35">
      <c r="A1068" s="81"/>
    </row>
    <row r="1069" spans="1:1" customFormat="1" ht="15" customHeight="1" x14ac:dyDescent="0.35">
      <c r="A1069" s="81"/>
    </row>
    <row r="1070" spans="1:1" customFormat="1" ht="15" customHeight="1" x14ac:dyDescent="0.35">
      <c r="A1070" s="81"/>
    </row>
    <row r="1071" spans="1:1" customFormat="1" ht="15" customHeight="1" x14ac:dyDescent="0.35">
      <c r="A1071" s="81"/>
    </row>
    <row r="1072" spans="1:1" customFormat="1" ht="15" customHeight="1" x14ac:dyDescent="0.35">
      <c r="A1072" s="81"/>
    </row>
    <row r="1073" spans="1:1" customFormat="1" ht="15" customHeight="1" x14ac:dyDescent="0.35">
      <c r="A1073" s="81"/>
    </row>
    <row r="1074" spans="1:1" customFormat="1" ht="15" customHeight="1" x14ac:dyDescent="0.35">
      <c r="A1074" s="81"/>
    </row>
    <row r="1075" spans="1:1" customFormat="1" ht="15" customHeight="1" x14ac:dyDescent="0.35">
      <c r="A1075" s="81"/>
    </row>
    <row r="1076" spans="1:1" customFormat="1" ht="15" customHeight="1" x14ac:dyDescent="0.35">
      <c r="A1076" s="81"/>
    </row>
    <row r="1077" spans="1:1" customFormat="1" ht="15" customHeight="1" x14ac:dyDescent="0.35">
      <c r="A1077" s="81"/>
    </row>
    <row r="1078" spans="1:1" customFormat="1" ht="15" customHeight="1" x14ac:dyDescent="0.35">
      <c r="A1078" s="81"/>
    </row>
    <row r="1079" spans="1:1" customFormat="1" ht="15" customHeight="1" x14ac:dyDescent="0.35">
      <c r="A1079" s="81"/>
    </row>
    <row r="1080" spans="1:1" customFormat="1" ht="15" customHeight="1" x14ac:dyDescent="0.35">
      <c r="A1080" s="81"/>
    </row>
    <row r="1081" spans="1:1" customFormat="1" ht="15" customHeight="1" x14ac:dyDescent="0.35">
      <c r="A1081" s="81"/>
    </row>
    <row r="1082" spans="1:1" customFormat="1" ht="15" customHeight="1" x14ac:dyDescent="0.35">
      <c r="A1082" s="81"/>
    </row>
    <row r="1083" spans="1:1" customFormat="1" ht="15" customHeight="1" x14ac:dyDescent="0.35">
      <c r="A1083" s="81"/>
    </row>
    <row r="1084" spans="1:1" customFormat="1" ht="15" customHeight="1" x14ac:dyDescent="0.35">
      <c r="A1084" s="81"/>
    </row>
    <row r="1085" spans="1:1" customFormat="1" ht="15" customHeight="1" x14ac:dyDescent="0.35">
      <c r="A1085" s="81"/>
    </row>
    <row r="1086" spans="1:1" customFormat="1" ht="15" customHeight="1" x14ac:dyDescent="0.35">
      <c r="A1086" s="81"/>
    </row>
    <row r="1087" spans="1:1" customFormat="1" ht="15" customHeight="1" x14ac:dyDescent="0.35">
      <c r="A1087" s="81"/>
    </row>
    <row r="1088" spans="1:1" customFormat="1" ht="15" customHeight="1" x14ac:dyDescent="0.35">
      <c r="A1088" s="81"/>
    </row>
    <row r="1089" spans="1:1" customFormat="1" ht="15" customHeight="1" x14ac:dyDescent="0.35">
      <c r="A1089" s="81"/>
    </row>
    <row r="1090" spans="1:1" customFormat="1" ht="15" customHeight="1" x14ac:dyDescent="0.35">
      <c r="A1090" s="81"/>
    </row>
    <row r="1091" spans="1:1" customFormat="1" ht="15" customHeight="1" x14ac:dyDescent="0.35">
      <c r="A1091" s="81"/>
    </row>
    <row r="1092" spans="1:1" customFormat="1" ht="15" customHeight="1" x14ac:dyDescent="0.35">
      <c r="A1092" s="81"/>
    </row>
    <row r="1093" spans="1:1" customFormat="1" ht="15" customHeight="1" x14ac:dyDescent="0.35">
      <c r="A1093" s="81"/>
    </row>
    <row r="1094" spans="1:1" customFormat="1" ht="15" customHeight="1" x14ac:dyDescent="0.35">
      <c r="A1094" s="81"/>
    </row>
    <row r="1095" spans="1:1" customFormat="1" ht="15" customHeight="1" x14ac:dyDescent="0.35">
      <c r="A1095" s="81"/>
    </row>
    <row r="1096" spans="1:1" customFormat="1" ht="15" customHeight="1" x14ac:dyDescent="0.35">
      <c r="A1096" s="81"/>
    </row>
    <row r="1097" spans="1:1" customFormat="1" ht="15" customHeight="1" x14ac:dyDescent="0.35">
      <c r="A1097" s="81"/>
    </row>
    <row r="1098" spans="1:1" customFormat="1" ht="15" customHeight="1" x14ac:dyDescent="0.35">
      <c r="A1098" s="81"/>
    </row>
    <row r="1099" spans="1:1" customFormat="1" ht="15" customHeight="1" x14ac:dyDescent="0.35">
      <c r="A1099" s="81"/>
    </row>
    <row r="1100" spans="1:1" customFormat="1" ht="15" customHeight="1" x14ac:dyDescent="0.35">
      <c r="A1100" s="81"/>
    </row>
    <row r="1101" spans="1:1" customFormat="1" ht="15" customHeight="1" x14ac:dyDescent="0.35">
      <c r="A1101" s="81"/>
    </row>
    <row r="1102" spans="1:1" customFormat="1" ht="15" customHeight="1" x14ac:dyDescent="0.35">
      <c r="A1102" s="81"/>
    </row>
    <row r="1103" spans="1:1" customFormat="1" ht="15" customHeight="1" x14ac:dyDescent="0.35">
      <c r="A1103" s="81"/>
    </row>
    <row r="1104" spans="1:1" customFormat="1" ht="15" customHeight="1" x14ac:dyDescent="0.35">
      <c r="A1104" s="81"/>
    </row>
    <row r="1105" spans="1:1" customFormat="1" ht="15" customHeight="1" x14ac:dyDescent="0.35">
      <c r="A1105" s="81"/>
    </row>
    <row r="1106" spans="1:1" customFormat="1" ht="15" customHeight="1" x14ac:dyDescent="0.35">
      <c r="A1106" s="81"/>
    </row>
    <row r="1107" spans="1:1" customFormat="1" ht="15" customHeight="1" x14ac:dyDescent="0.35">
      <c r="A1107" s="81"/>
    </row>
    <row r="1108" spans="1:1" customFormat="1" ht="15" customHeight="1" x14ac:dyDescent="0.35">
      <c r="A1108" s="81"/>
    </row>
    <row r="1109" spans="1:1" customFormat="1" ht="15" customHeight="1" x14ac:dyDescent="0.35">
      <c r="A1109" s="81"/>
    </row>
    <row r="1110" spans="1:1" customFormat="1" ht="15" customHeight="1" x14ac:dyDescent="0.35">
      <c r="A1110" s="81"/>
    </row>
    <row r="1111" spans="1:1" customFormat="1" ht="15" customHeight="1" x14ac:dyDescent="0.35">
      <c r="A1111" s="81"/>
    </row>
    <row r="1112" spans="1:1" customFormat="1" ht="15" customHeight="1" x14ac:dyDescent="0.35">
      <c r="A1112" s="81"/>
    </row>
    <row r="1113" spans="1:1" customFormat="1" ht="15" customHeight="1" x14ac:dyDescent="0.35">
      <c r="A1113" s="81"/>
    </row>
    <row r="1114" spans="1:1" customFormat="1" ht="15" customHeight="1" x14ac:dyDescent="0.35">
      <c r="A1114" s="81"/>
    </row>
    <row r="1115" spans="1:1" customFormat="1" ht="15" customHeight="1" x14ac:dyDescent="0.35">
      <c r="A1115" s="81"/>
    </row>
    <row r="1116" spans="1:1" customFormat="1" ht="15" customHeight="1" x14ac:dyDescent="0.35">
      <c r="A1116" s="81"/>
    </row>
    <row r="1117" spans="1:1" customFormat="1" ht="15" customHeight="1" x14ac:dyDescent="0.35">
      <c r="A1117" s="81"/>
    </row>
    <row r="1118" spans="1:1" customFormat="1" ht="15" customHeight="1" x14ac:dyDescent="0.35">
      <c r="A1118" s="81"/>
    </row>
    <row r="1119" spans="1:1" customFormat="1" ht="15" customHeight="1" x14ac:dyDescent="0.35">
      <c r="A1119" s="81"/>
    </row>
    <row r="1120" spans="1:1" customFormat="1" ht="15" customHeight="1" x14ac:dyDescent="0.35">
      <c r="A1120" s="81"/>
    </row>
    <row r="1121" spans="1:1" customFormat="1" ht="15" customHeight="1" x14ac:dyDescent="0.35">
      <c r="A1121" s="81"/>
    </row>
    <row r="1122" spans="1:1" customFormat="1" ht="15" customHeight="1" x14ac:dyDescent="0.35">
      <c r="A1122" s="81"/>
    </row>
    <row r="1123" spans="1:1" customFormat="1" ht="15" customHeight="1" x14ac:dyDescent="0.35">
      <c r="A1123" s="81"/>
    </row>
    <row r="1124" spans="1:1" customFormat="1" ht="15" customHeight="1" x14ac:dyDescent="0.35">
      <c r="A1124" s="81"/>
    </row>
    <row r="1125" spans="1:1" customFormat="1" ht="15" customHeight="1" x14ac:dyDescent="0.35">
      <c r="A1125" s="81"/>
    </row>
    <row r="1126" spans="1:1" customFormat="1" ht="15" customHeight="1" x14ac:dyDescent="0.35">
      <c r="A1126" s="81"/>
    </row>
    <row r="1127" spans="1:1" customFormat="1" ht="15" customHeight="1" x14ac:dyDescent="0.35">
      <c r="A1127" s="81"/>
    </row>
    <row r="1128" spans="1:1" customFormat="1" ht="15" customHeight="1" x14ac:dyDescent="0.35">
      <c r="A1128" s="81"/>
    </row>
    <row r="1129" spans="1:1" customFormat="1" ht="15" customHeight="1" x14ac:dyDescent="0.35">
      <c r="A1129" s="81"/>
    </row>
    <row r="1130" spans="1:1" customFormat="1" ht="15" customHeight="1" x14ac:dyDescent="0.35">
      <c r="A1130" s="81"/>
    </row>
    <row r="1131" spans="1:1" customFormat="1" ht="15" customHeight="1" x14ac:dyDescent="0.35">
      <c r="A1131" s="81"/>
    </row>
    <row r="1132" spans="1:1" customFormat="1" ht="15" customHeight="1" x14ac:dyDescent="0.35">
      <c r="A1132" s="81"/>
    </row>
    <row r="1133" spans="1:1" customFormat="1" ht="15" customHeight="1" x14ac:dyDescent="0.35">
      <c r="A1133" s="81"/>
    </row>
    <row r="1134" spans="1:1" customFormat="1" ht="15" customHeight="1" x14ac:dyDescent="0.35">
      <c r="A1134" s="81"/>
    </row>
    <row r="1135" spans="1:1" customFormat="1" ht="15" customHeight="1" x14ac:dyDescent="0.35">
      <c r="A1135" s="81"/>
    </row>
    <row r="1136" spans="1:1" customFormat="1" ht="15" customHeight="1" x14ac:dyDescent="0.35">
      <c r="A1136" s="81"/>
    </row>
    <row r="1137" spans="1:1" customFormat="1" ht="15" customHeight="1" x14ac:dyDescent="0.35">
      <c r="A1137" s="81"/>
    </row>
    <row r="1138" spans="1:1" customFormat="1" ht="15" customHeight="1" x14ac:dyDescent="0.35">
      <c r="A1138" s="81"/>
    </row>
    <row r="1139" spans="1:1" customFormat="1" ht="15" customHeight="1" x14ac:dyDescent="0.35">
      <c r="A1139" s="81"/>
    </row>
    <row r="1140" spans="1:1" customFormat="1" ht="15" customHeight="1" x14ac:dyDescent="0.35">
      <c r="A1140" s="81"/>
    </row>
    <row r="1141" spans="1:1" customFormat="1" ht="15" customHeight="1" x14ac:dyDescent="0.35">
      <c r="A1141" s="81"/>
    </row>
    <row r="1142" spans="1:1" customFormat="1" ht="15" customHeight="1" x14ac:dyDescent="0.35">
      <c r="A1142" s="81"/>
    </row>
    <row r="1143" spans="1:1" customFormat="1" ht="15" customHeight="1" x14ac:dyDescent="0.35">
      <c r="A1143" s="81"/>
    </row>
    <row r="1144" spans="1:1" customFormat="1" ht="15" customHeight="1" x14ac:dyDescent="0.35">
      <c r="A1144" s="81"/>
    </row>
    <row r="1145" spans="1:1" customFormat="1" ht="15" customHeight="1" x14ac:dyDescent="0.35">
      <c r="A1145" s="81"/>
    </row>
    <row r="1146" spans="1:1" customFormat="1" ht="15" customHeight="1" x14ac:dyDescent="0.35">
      <c r="A1146" s="81"/>
    </row>
    <row r="1147" spans="1:1" customFormat="1" ht="15" customHeight="1" x14ac:dyDescent="0.35">
      <c r="A1147" s="81"/>
    </row>
    <row r="1148" spans="1:1" customFormat="1" ht="15" customHeight="1" x14ac:dyDescent="0.35">
      <c r="A1148" s="81"/>
    </row>
    <row r="1149" spans="1:1" customFormat="1" ht="15" customHeight="1" x14ac:dyDescent="0.35">
      <c r="A1149" s="81"/>
    </row>
    <row r="1150" spans="1:1" customFormat="1" ht="15" customHeight="1" x14ac:dyDescent="0.35">
      <c r="A1150" s="81"/>
    </row>
    <row r="1151" spans="1:1" customFormat="1" ht="15" customHeight="1" x14ac:dyDescent="0.35">
      <c r="A1151" s="81"/>
    </row>
    <row r="1152" spans="1:1" customFormat="1" ht="15" customHeight="1" x14ac:dyDescent="0.35">
      <c r="A1152" s="81"/>
    </row>
    <row r="1153" spans="1:1" customFormat="1" ht="15" customHeight="1" x14ac:dyDescent="0.35">
      <c r="A1153" s="81"/>
    </row>
    <row r="1154" spans="1:1" customFormat="1" ht="15" customHeight="1" x14ac:dyDescent="0.35">
      <c r="A1154" s="81"/>
    </row>
    <row r="1155" spans="1:1" customFormat="1" ht="15" customHeight="1" x14ac:dyDescent="0.35">
      <c r="A1155" s="81"/>
    </row>
    <row r="1156" spans="1:1" customFormat="1" ht="15" customHeight="1" x14ac:dyDescent="0.35">
      <c r="A1156" s="81"/>
    </row>
    <row r="1157" spans="1:1" customFormat="1" ht="15" customHeight="1" x14ac:dyDescent="0.35">
      <c r="A1157" s="81"/>
    </row>
    <row r="1158" spans="1:1" customFormat="1" ht="15" customHeight="1" x14ac:dyDescent="0.35">
      <c r="A1158" s="81"/>
    </row>
    <row r="1159" spans="1:1" customFormat="1" ht="15" customHeight="1" x14ac:dyDescent="0.35">
      <c r="A1159" s="81"/>
    </row>
    <row r="1160" spans="1:1" customFormat="1" ht="15" customHeight="1" x14ac:dyDescent="0.35">
      <c r="A1160" s="81"/>
    </row>
    <row r="1161" spans="1:1" customFormat="1" ht="15" customHeight="1" x14ac:dyDescent="0.35">
      <c r="A1161" s="81"/>
    </row>
    <row r="1162" spans="1:1" customFormat="1" ht="15" customHeight="1" x14ac:dyDescent="0.35">
      <c r="A1162" s="81"/>
    </row>
    <row r="1163" spans="1:1" customFormat="1" ht="15" customHeight="1" x14ac:dyDescent="0.35">
      <c r="A1163" s="81"/>
    </row>
    <row r="1164" spans="1:1" customFormat="1" ht="15" customHeight="1" x14ac:dyDescent="0.35">
      <c r="A1164" s="81"/>
    </row>
    <row r="1165" spans="1:1" customFormat="1" ht="15" customHeight="1" x14ac:dyDescent="0.35">
      <c r="A1165" s="81"/>
    </row>
    <row r="1166" spans="1:1" customFormat="1" ht="15" customHeight="1" x14ac:dyDescent="0.35">
      <c r="A1166" s="81"/>
    </row>
    <row r="1167" spans="1:1" customFormat="1" ht="15" customHeight="1" x14ac:dyDescent="0.35">
      <c r="A1167" s="81"/>
    </row>
    <row r="1168" spans="1:1" customFormat="1" ht="15" customHeight="1" x14ac:dyDescent="0.35">
      <c r="A1168" s="81"/>
    </row>
    <row r="1169" spans="1:1" customFormat="1" ht="15" customHeight="1" x14ac:dyDescent="0.35">
      <c r="A1169" s="81"/>
    </row>
    <row r="1170" spans="1:1" customFormat="1" ht="15" customHeight="1" x14ac:dyDescent="0.35">
      <c r="A1170" s="81"/>
    </row>
    <row r="1171" spans="1:1" customFormat="1" ht="15" customHeight="1" x14ac:dyDescent="0.35">
      <c r="A1171" s="81"/>
    </row>
    <row r="1172" spans="1:1" customFormat="1" ht="15" customHeight="1" x14ac:dyDescent="0.35">
      <c r="A1172" s="81"/>
    </row>
    <row r="1173" spans="1:1" customFormat="1" ht="15" customHeight="1" x14ac:dyDescent="0.35">
      <c r="A1173" s="81"/>
    </row>
    <row r="1174" spans="1:1" customFormat="1" ht="15" customHeight="1" x14ac:dyDescent="0.35">
      <c r="A1174" s="81"/>
    </row>
    <row r="1175" spans="1:1" customFormat="1" ht="15" customHeight="1" x14ac:dyDescent="0.35">
      <c r="A1175" s="81"/>
    </row>
    <row r="1176" spans="1:1" customFormat="1" ht="15" customHeight="1" x14ac:dyDescent="0.35">
      <c r="A1176" s="81"/>
    </row>
    <row r="1177" spans="1:1" customFormat="1" ht="15" customHeight="1" x14ac:dyDescent="0.35">
      <c r="A1177" s="81"/>
    </row>
    <row r="1178" spans="1:1" customFormat="1" ht="15" customHeight="1" x14ac:dyDescent="0.35">
      <c r="A1178" s="81"/>
    </row>
    <row r="1179" spans="1:1" customFormat="1" ht="15" customHeight="1" x14ac:dyDescent="0.35">
      <c r="A1179" s="81"/>
    </row>
    <row r="1180" spans="1:1" customFormat="1" ht="15" customHeight="1" x14ac:dyDescent="0.35">
      <c r="A1180" s="81"/>
    </row>
    <row r="1181" spans="1:1" customFormat="1" ht="15" customHeight="1" x14ac:dyDescent="0.35">
      <c r="A1181" s="81"/>
    </row>
    <row r="1182" spans="1:1" customFormat="1" ht="15" customHeight="1" x14ac:dyDescent="0.35">
      <c r="A1182" s="81"/>
    </row>
    <row r="1183" spans="1:1" customFormat="1" ht="15" customHeight="1" x14ac:dyDescent="0.35">
      <c r="A1183" s="81"/>
    </row>
    <row r="1184" spans="1:1" customFormat="1" ht="15" customHeight="1" x14ac:dyDescent="0.35">
      <c r="A1184" s="81"/>
    </row>
    <row r="1185" spans="1:1" customFormat="1" ht="15" customHeight="1" x14ac:dyDescent="0.35">
      <c r="A1185" s="81"/>
    </row>
    <row r="1186" spans="1:1" customFormat="1" ht="15" customHeight="1" x14ac:dyDescent="0.35">
      <c r="A1186" s="81"/>
    </row>
    <row r="1187" spans="1:1" customFormat="1" ht="15" customHeight="1" x14ac:dyDescent="0.35">
      <c r="A1187" s="81"/>
    </row>
    <row r="1188" spans="1:1" customFormat="1" ht="15" customHeight="1" x14ac:dyDescent="0.35">
      <c r="A1188" s="81"/>
    </row>
    <row r="1189" spans="1:1" customFormat="1" ht="15" customHeight="1" x14ac:dyDescent="0.35">
      <c r="A1189" s="81"/>
    </row>
    <row r="1190" spans="1:1" customFormat="1" ht="15" customHeight="1" x14ac:dyDescent="0.35">
      <c r="A1190" s="81"/>
    </row>
    <row r="1191" spans="1:1" customFormat="1" ht="15" customHeight="1" x14ac:dyDescent="0.35">
      <c r="A1191" s="81"/>
    </row>
    <row r="1192" spans="1:1" customFormat="1" ht="15" customHeight="1" x14ac:dyDescent="0.35">
      <c r="A1192" s="81"/>
    </row>
    <row r="1193" spans="1:1" customFormat="1" ht="15" customHeight="1" x14ac:dyDescent="0.35">
      <c r="A1193" s="81"/>
    </row>
    <row r="1194" spans="1:1" customFormat="1" ht="15" customHeight="1" x14ac:dyDescent="0.35">
      <c r="A1194" s="81"/>
    </row>
    <row r="1195" spans="1:1" customFormat="1" ht="15" customHeight="1" x14ac:dyDescent="0.35">
      <c r="A1195" s="81"/>
    </row>
    <row r="1196" spans="1:1" customFormat="1" ht="15" customHeight="1" x14ac:dyDescent="0.35">
      <c r="A1196" s="81"/>
    </row>
    <row r="1197" spans="1:1" customFormat="1" ht="15" customHeight="1" x14ac:dyDescent="0.35">
      <c r="A1197" s="81"/>
    </row>
    <row r="1198" spans="1:1" customFormat="1" ht="15" customHeight="1" x14ac:dyDescent="0.35">
      <c r="A1198" s="81"/>
    </row>
    <row r="1199" spans="1:1" customFormat="1" ht="15" customHeight="1" x14ac:dyDescent="0.35">
      <c r="A1199" s="81"/>
    </row>
    <row r="1200" spans="1:1" customFormat="1" ht="15" customHeight="1" x14ac:dyDescent="0.35">
      <c r="A1200" s="81"/>
    </row>
    <row r="1201" spans="1:1" customFormat="1" ht="15" customHeight="1" x14ac:dyDescent="0.35">
      <c r="A1201" s="81"/>
    </row>
    <row r="1202" spans="1:1" customFormat="1" ht="15" customHeight="1" x14ac:dyDescent="0.35">
      <c r="A1202" s="81"/>
    </row>
    <row r="1203" spans="1:1" customFormat="1" ht="15" customHeight="1" x14ac:dyDescent="0.35">
      <c r="A1203" s="81"/>
    </row>
    <row r="1204" spans="1:1" customFormat="1" ht="15" customHeight="1" x14ac:dyDescent="0.35">
      <c r="A1204" s="81"/>
    </row>
    <row r="1205" spans="1:1" customFormat="1" ht="15" customHeight="1" x14ac:dyDescent="0.35">
      <c r="A1205" s="81"/>
    </row>
    <row r="1206" spans="1:1" customFormat="1" ht="15" customHeight="1" x14ac:dyDescent="0.35">
      <c r="A1206" s="81"/>
    </row>
    <row r="1207" spans="1:1" customFormat="1" ht="15" customHeight="1" x14ac:dyDescent="0.35">
      <c r="A1207" s="81"/>
    </row>
    <row r="1208" spans="1:1" customFormat="1" ht="15" customHeight="1" x14ac:dyDescent="0.35">
      <c r="A1208" s="81"/>
    </row>
    <row r="1209" spans="1:1" customFormat="1" ht="15" customHeight="1" x14ac:dyDescent="0.35">
      <c r="A1209" s="81"/>
    </row>
    <row r="1210" spans="1:1" customFormat="1" ht="15" customHeight="1" x14ac:dyDescent="0.35">
      <c r="A1210" s="81"/>
    </row>
    <row r="1211" spans="1:1" customFormat="1" ht="15" customHeight="1" x14ac:dyDescent="0.35">
      <c r="A1211" s="81"/>
    </row>
    <row r="1212" spans="1:1" customFormat="1" ht="15" customHeight="1" x14ac:dyDescent="0.35">
      <c r="A1212" s="81"/>
    </row>
    <row r="1213" spans="1:1" customFormat="1" ht="15" customHeight="1" x14ac:dyDescent="0.35">
      <c r="A1213" s="81"/>
    </row>
    <row r="1214" spans="1:1" customFormat="1" ht="15" customHeight="1" x14ac:dyDescent="0.35">
      <c r="A1214" s="81"/>
    </row>
    <row r="1215" spans="1:1" customFormat="1" ht="15" customHeight="1" x14ac:dyDescent="0.35">
      <c r="A1215" s="81"/>
    </row>
    <row r="1216" spans="1:1" customFormat="1" ht="15" customHeight="1" x14ac:dyDescent="0.35">
      <c r="A1216" s="81"/>
    </row>
    <row r="1217" spans="1:1" customFormat="1" ht="15" customHeight="1" x14ac:dyDescent="0.35">
      <c r="A1217" s="81"/>
    </row>
    <row r="1218" spans="1:1" customFormat="1" ht="15" customHeight="1" x14ac:dyDescent="0.35">
      <c r="A1218" s="81"/>
    </row>
    <row r="1219" spans="1:1" customFormat="1" ht="15" customHeight="1" x14ac:dyDescent="0.35">
      <c r="A1219" s="81"/>
    </row>
    <row r="1220" spans="1:1" customFormat="1" ht="15" customHeight="1" x14ac:dyDescent="0.35">
      <c r="A1220" s="81"/>
    </row>
    <row r="1221" spans="1:1" customFormat="1" ht="15" customHeight="1" x14ac:dyDescent="0.35">
      <c r="A1221" s="81"/>
    </row>
    <row r="1222" spans="1:1" customFormat="1" ht="15" customHeight="1" x14ac:dyDescent="0.35">
      <c r="A1222" s="81"/>
    </row>
    <row r="1223" spans="1:1" customFormat="1" ht="15" customHeight="1" x14ac:dyDescent="0.35">
      <c r="A1223" s="81"/>
    </row>
    <row r="1224" spans="1:1" customFormat="1" ht="15" customHeight="1" x14ac:dyDescent="0.35">
      <c r="A1224" s="81"/>
    </row>
    <row r="1225" spans="1:1" customFormat="1" ht="15" customHeight="1" x14ac:dyDescent="0.35">
      <c r="A1225" s="81"/>
    </row>
    <row r="1226" spans="1:1" customFormat="1" ht="15" customHeight="1" x14ac:dyDescent="0.35">
      <c r="A1226" s="81"/>
    </row>
    <row r="1227" spans="1:1" customFormat="1" ht="15" customHeight="1" x14ac:dyDescent="0.35">
      <c r="A1227" s="81"/>
    </row>
    <row r="1228" spans="1:1" customFormat="1" ht="15" customHeight="1" x14ac:dyDescent="0.35">
      <c r="A1228" s="81"/>
    </row>
    <row r="1229" spans="1:1" customFormat="1" ht="15" customHeight="1" x14ac:dyDescent="0.35">
      <c r="A1229" s="81"/>
    </row>
    <row r="1230" spans="1:1" customFormat="1" ht="15" customHeight="1" x14ac:dyDescent="0.35">
      <c r="A1230" s="81"/>
    </row>
    <row r="1231" spans="1:1" customFormat="1" ht="15" customHeight="1" x14ac:dyDescent="0.35">
      <c r="A1231" s="81"/>
    </row>
    <row r="1232" spans="1:1" customFormat="1" ht="15" customHeight="1" x14ac:dyDescent="0.35">
      <c r="A1232" s="81"/>
    </row>
    <row r="1233" spans="1:1" customFormat="1" ht="15" customHeight="1" x14ac:dyDescent="0.35">
      <c r="A1233" s="81"/>
    </row>
    <row r="1234" spans="1:1" customFormat="1" ht="15" customHeight="1" x14ac:dyDescent="0.35">
      <c r="A1234" s="81"/>
    </row>
    <row r="1235" spans="1:1" customFormat="1" ht="15" customHeight="1" x14ac:dyDescent="0.35">
      <c r="A1235" s="81"/>
    </row>
    <row r="1236" spans="1:1" customFormat="1" ht="15" customHeight="1" x14ac:dyDescent="0.35">
      <c r="A1236" s="81"/>
    </row>
    <row r="1237" spans="1:1" customFormat="1" ht="15" customHeight="1" x14ac:dyDescent="0.35">
      <c r="A1237" s="81"/>
    </row>
    <row r="1238" spans="1:1" customFormat="1" ht="15" customHeight="1" x14ac:dyDescent="0.35">
      <c r="A1238" s="81"/>
    </row>
    <row r="1239" spans="1:1" customFormat="1" ht="15" customHeight="1" x14ac:dyDescent="0.35">
      <c r="A1239" s="81"/>
    </row>
    <row r="1240" spans="1:1" customFormat="1" ht="15" customHeight="1" x14ac:dyDescent="0.35">
      <c r="A1240" s="81"/>
    </row>
    <row r="1241" spans="1:1" customFormat="1" ht="15" customHeight="1" x14ac:dyDescent="0.35">
      <c r="A1241" s="81"/>
    </row>
    <row r="1242" spans="1:1" customFormat="1" ht="15" customHeight="1" x14ac:dyDescent="0.35">
      <c r="A1242" s="81"/>
    </row>
    <row r="1243" spans="1:1" customFormat="1" ht="15" customHeight="1" x14ac:dyDescent="0.35">
      <c r="A1243" s="81"/>
    </row>
    <row r="1244" spans="1:1" customFormat="1" ht="15" customHeight="1" x14ac:dyDescent="0.35">
      <c r="A1244" s="81"/>
    </row>
    <row r="1245" spans="1:1" customFormat="1" ht="15" customHeight="1" x14ac:dyDescent="0.35">
      <c r="A1245" s="81"/>
    </row>
    <row r="1246" spans="1:1" customFormat="1" ht="15" customHeight="1" x14ac:dyDescent="0.35">
      <c r="A1246" s="81"/>
    </row>
    <row r="1247" spans="1:1" customFormat="1" ht="15" customHeight="1" x14ac:dyDescent="0.35">
      <c r="A1247" s="81"/>
    </row>
    <row r="1248" spans="1:1" customFormat="1" ht="15" customHeight="1" x14ac:dyDescent="0.35">
      <c r="A1248" s="81"/>
    </row>
    <row r="1249" spans="1:1" customFormat="1" ht="15" customHeight="1" x14ac:dyDescent="0.35">
      <c r="A1249" s="81"/>
    </row>
    <row r="1250" spans="1:1" customFormat="1" ht="15" customHeight="1" x14ac:dyDescent="0.35">
      <c r="A1250" s="81"/>
    </row>
    <row r="1251" spans="1:1" customFormat="1" ht="15" customHeight="1" x14ac:dyDescent="0.35">
      <c r="A1251" s="81"/>
    </row>
    <row r="1252" spans="1:1" customFormat="1" ht="15" customHeight="1" x14ac:dyDescent="0.35">
      <c r="A1252" s="81"/>
    </row>
    <row r="1253" spans="1:1" customFormat="1" ht="15" customHeight="1" x14ac:dyDescent="0.35">
      <c r="A1253" s="81"/>
    </row>
    <row r="1254" spans="1:1" customFormat="1" ht="15" customHeight="1" x14ac:dyDescent="0.35">
      <c r="A1254" s="81"/>
    </row>
    <row r="1255" spans="1:1" customFormat="1" ht="15" customHeight="1" x14ac:dyDescent="0.35">
      <c r="A1255" s="81"/>
    </row>
    <row r="1256" spans="1:1" customFormat="1" ht="15" customHeight="1" x14ac:dyDescent="0.35">
      <c r="A1256" s="81"/>
    </row>
    <row r="1257" spans="1:1" customFormat="1" ht="15" customHeight="1" x14ac:dyDescent="0.35">
      <c r="A1257" s="81"/>
    </row>
    <row r="1258" spans="1:1" customFormat="1" ht="15" customHeight="1" x14ac:dyDescent="0.35">
      <c r="A1258" s="81"/>
    </row>
    <row r="1259" spans="1:1" customFormat="1" ht="15" customHeight="1" x14ac:dyDescent="0.35">
      <c r="A1259" s="81"/>
    </row>
    <row r="1260" spans="1:1" customFormat="1" ht="15" customHeight="1" x14ac:dyDescent="0.35">
      <c r="A1260" s="81"/>
    </row>
    <row r="1261" spans="1:1" customFormat="1" ht="15" customHeight="1" x14ac:dyDescent="0.35">
      <c r="A1261" s="81"/>
    </row>
    <row r="1262" spans="1:1" customFormat="1" ht="15" customHeight="1" x14ac:dyDescent="0.35">
      <c r="A1262" s="81"/>
    </row>
    <row r="1263" spans="1:1" customFormat="1" ht="15" customHeight="1" x14ac:dyDescent="0.35">
      <c r="A1263" s="81"/>
    </row>
    <row r="1264" spans="1:1" customFormat="1" ht="15" customHeight="1" x14ac:dyDescent="0.35">
      <c r="A1264" s="81"/>
    </row>
    <row r="1265" spans="1:1" customFormat="1" ht="15" customHeight="1" x14ac:dyDescent="0.35">
      <c r="A1265" s="81"/>
    </row>
    <row r="1266" spans="1:1" customFormat="1" ht="15" customHeight="1" x14ac:dyDescent="0.35">
      <c r="A1266" s="81"/>
    </row>
    <row r="1267" spans="1:1" customFormat="1" ht="15" customHeight="1" x14ac:dyDescent="0.35">
      <c r="A1267" s="81"/>
    </row>
    <row r="1268" spans="1:1" customFormat="1" ht="15" customHeight="1" x14ac:dyDescent="0.35">
      <c r="A1268" s="81"/>
    </row>
    <row r="1269" spans="1:1" customFormat="1" ht="15" customHeight="1" x14ac:dyDescent="0.35">
      <c r="A1269" s="81"/>
    </row>
    <row r="1270" spans="1:1" customFormat="1" ht="15" customHeight="1" x14ac:dyDescent="0.35">
      <c r="A1270" s="81"/>
    </row>
    <row r="1271" spans="1:1" customFormat="1" ht="15" customHeight="1" x14ac:dyDescent="0.35">
      <c r="A1271" s="81"/>
    </row>
    <row r="1272" spans="1:1" customFormat="1" ht="15" customHeight="1" x14ac:dyDescent="0.35">
      <c r="A1272" s="81"/>
    </row>
    <row r="1273" spans="1:1" customFormat="1" ht="15" customHeight="1" x14ac:dyDescent="0.35">
      <c r="A1273" s="81"/>
    </row>
    <row r="1274" spans="1:1" customFormat="1" ht="15" customHeight="1" x14ac:dyDescent="0.35">
      <c r="A1274" s="81"/>
    </row>
    <row r="1275" spans="1:1" customFormat="1" ht="15" customHeight="1" x14ac:dyDescent="0.35">
      <c r="A1275" s="81"/>
    </row>
    <row r="1276" spans="1:1" customFormat="1" ht="15" customHeight="1" x14ac:dyDescent="0.35">
      <c r="A1276" s="81"/>
    </row>
    <row r="1277" spans="1:1" customFormat="1" ht="15" customHeight="1" x14ac:dyDescent="0.35">
      <c r="A1277" s="81"/>
    </row>
    <row r="1278" spans="1:1" customFormat="1" ht="15" customHeight="1" x14ac:dyDescent="0.35">
      <c r="A1278" s="81"/>
    </row>
    <row r="1279" spans="1:1" customFormat="1" ht="15" customHeight="1" x14ac:dyDescent="0.35">
      <c r="A1279" s="81"/>
    </row>
    <row r="1280" spans="1:1" customFormat="1" ht="15" customHeight="1" x14ac:dyDescent="0.35">
      <c r="A1280" s="81"/>
    </row>
    <row r="1281" spans="1:1" customFormat="1" ht="15" customHeight="1" x14ac:dyDescent="0.35">
      <c r="A1281" s="81"/>
    </row>
    <row r="1282" spans="1:1" customFormat="1" ht="15" customHeight="1" x14ac:dyDescent="0.35">
      <c r="A1282" s="81"/>
    </row>
    <row r="1283" spans="1:1" customFormat="1" ht="15" customHeight="1" x14ac:dyDescent="0.35">
      <c r="A1283" s="81"/>
    </row>
    <row r="1284" spans="1:1" customFormat="1" ht="15" customHeight="1" x14ac:dyDescent="0.35">
      <c r="A1284" s="81"/>
    </row>
    <row r="1285" spans="1:1" customFormat="1" ht="15" customHeight="1" x14ac:dyDescent="0.35">
      <c r="A1285" s="81"/>
    </row>
    <row r="1286" spans="1:1" customFormat="1" ht="15" customHeight="1" x14ac:dyDescent="0.35">
      <c r="A1286" s="81"/>
    </row>
    <row r="1287" spans="1:1" customFormat="1" ht="15" customHeight="1" x14ac:dyDescent="0.35">
      <c r="A1287" s="81"/>
    </row>
    <row r="1288" spans="1:1" customFormat="1" ht="15" customHeight="1" x14ac:dyDescent="0.35">
      <c r="A1288" s="81"/>
    </row>
    <row r="1289" spans="1:1" customFormat="1" ht="15" customHeight="1" x14ac:dyDescent="0.35">
      <c r="A1289" s="81"/>
    </row>
    <row r="1290" spans="1:1" customFormat="1" ht="15" customHeight="1" x14ac:dyDescent="0.35">
      <c r="A1290" s="81"/>
    </row>
    <row r="1291" spans="1:1" customFormat="1" ht="15" customHeight="1" x14ac:dyDescent="0.35">
      <c r="A1291" s="81"/>
    </row>
    <row r="1292" spans="1:1" customFormat="1" ht="15" customHeight="1" x14ac:dyDescent="0.35">
      <c r="A1292" s="81"/>
    </row>
    <row r="1293" spans="1:1" customFormat="1" ht="15" customHeight="1" x14ac:dyDescent="0.35">
      <c r="A1293" s="81"/>
    </row>
    <row r="1294" spans="1:1" customFormat="1" ht="15" customHeight="1" x14ac:dyDescent="0.35">
      <c r="A1294" s="81"/>
    </row>
    <row r="1295" spans="1:1" customFormat="1" ht="15" customHeight="1" x14ac:dyDescent="0.35">
      <c r="A1295" s="81"/>
    </row>
    <row r="1296" spans="1:1" customFormat="1" ht="15" customHeight="1" x14ac:dyDescent="0.35">
      <c r="A1296" s="81"/>
    </row>
    <row r="1297" spans="1:1" customFormat="1" ht="15" customHeight="1" x14ac:dyDescent="0.35">
      <c r="A1297" s="81"/>
    </row>
    <row r="1298" spans="1:1" customFormat="1" ht="15" customHeight="1" x14ac:dyDescent="0.35">
      <c r="A1298" s="81"/>
    </row>
    <row r="1299" spans="1:1" customFormat="1" ht="15" customHeight="1" x14ac:dyDescent="0.35">
      <c r="A1299" s="81"/>
    </row>
    <row r="1300" spans="1:1" customFormat="1" ht="15" customHeight="1" x14ac:dyDescent="0.35">
      <c r="A1300" s="81"/>
    </row>
    <row r="1301" spans="1:1" customFormat="1" ht="15" customHeight="1" x14ac:dyDescent="0.35">
      <c r="A1301" s="81"/>
    </row>
    <row r="1302" spans="1:1" customFormat="1" ht="15" customHeight="1" x14ac:dyDescent="0.35">
      <c r="A1302" s="81"/>
    </row>
    <row r="1303" spans="1:1" customFormat="1" ht="15" customHeight="1" x14ac:dyDescent="0.35">
      <c r="A1303" s="81"/>
    </row>
    <row r="1304" spans="1:1" customFormat="1" ht="15" customHeight="1" x14ac:dyDescent="0.35">
      <c r="A1304" s="81"/>
    </row>
    <row r="1305" spans="1:1" customFormat="1" ht="15" customHeight="1" x14ac:dyDescent="0.35">
      <c r="A1305" s="81"/>
    </row>
    <row r="1306" spans="1:1" customFormat="1" ht="15" customHeight="1" x14ac:dyDescent="0.35">
      <c r="A1306" s="81"/>
    </row>
    <row r="1307" spans="1:1" customFormat="1" ht="15" customHeight="1" x14ac:dyDescent="0.35">
      <c r="A1307" s="81"/>
    </row>
    <row r="1308" spans="1:1" customFormat="1" ht="15" customHeight="1" x14ac:dyDescent="0.35">
      <c r="A1308" s="81"/>
    </row>
    <row r="1309" spans="1:1" customFormat="1" ht="15" customHeight="1" x14ac:dyDescent="0.35">
      <c r="A1309" s="81"/>
    </row>
    <row r="1310" spans="1:1" customFormat="1" ht="15" customHeight="1" x14ac:dyDescent="0.35">
      <c r="A1310" s="81"/>
    </row>
    <row r="1311" spans="1:1" customFormat="1" ht="15" customHeight="1" x14ac:dyDescent="0.35">
      <c r="A1311" s="81"/>
    </row>
    <row r="1312" spans="1:1" customFormat="1" ht="15" customHeight="1" x14ac:dyDescent="0.35">
      <c r="A1312" s="81"/>
    </row>
    <row r="1313" spans="1:1" customFormat="1" ht="15" customHeight="1" x14ac:dyDescent="0.35">
      <c r="A1313" s="81"/>
    </row>
    <row r="1314" spans="1:1" customFormat="1" ht="15" customHeight="1" x14ac:dyDescent="0.35">
      <c r="A1314" s="81"/>
    </row>
    <row r="1315" spans="1:1" customFormat="1" ht="15" customHeight="1" x14ac:dyDescent="0.35">
      <c r="A1315" s="81"/>
    </row>
    <row r="1316" spans="1:1" customFormat="1" ht="15" customHeight="1" x14ac:dyDescent="0.35">
      <c r="A1316" s="81"/>
    </row>
    <row r="1317" spans="1:1" customFormat="1" ht="15" customHeight="1" x14ac:dyDescent="0.35">
      <c r="A1317" s="81"/>
    </row>
    <row r="1318" spans="1:1" customFormat="1" ht="15" customHeight="1" x14ac:dyDescent="0.35">
      <c r="A1318" s="81"/>
    </row>
    <row r="1319" spans="1:1" customFormat="1" ht="15" customHeight="1" x14ac:dyDescent="0.35">
      <c r="A1319" s="81"/>
    </row>
    <row r="1320" spans="1:1" customFormat="1" ht="15" customHeight="1" x14ac:dyDescent="0.35">
      <c r="A1320" s="81"/>
    </row>
    <row r="1321" spans="1:1" customFormat="1" ht="15" customHeight="1" x14ac:dyDescent="0.35">
      <c r="A1321" s="81"/>
    </row>
    <row r="1322" spans="1:1" customFormat="1" ht="15" customHeight="1" x14ac:dyDescent="0.35">
      <c r="A1322" s="81"/>
    </row>
    <row r="1323" spans="1:1" customFormat="1" ht="15" customHeight="1" x14ac:dyDescent="0.35">
      <c r="A1323" s="81"/>
    </row>
    <row r="1324" spans="1:1" customFormat="1" ht="15" customHeight="1" x14ac:dyDescent="0.35">
      <c r="A1324" s="81"/>
    </row>
    <row r="1325" spans="1:1" customFormat="1" ht="15" customHeight="1" x14ac:dyDescent="0.35">
      <c r="A1325" s="81"/>
    </row>
    <row r="1326" spans="1:1" customFormat="1" ht="15" customHeight="1" x14ac:dyDescent="0.35">
      <c r="A1326" s="81"/>
    </row>
    <row r="1327" spans="1:1" customFormat="1" ht="15" customHeight="1" x14ac:dyDescent="0.35">
      <c r="A1327" s="81"/>
    </row>
    <row r="1328" spans="1:1" customFormat="1" ht="15" customHeight="1" x14ac:dyDescent="0.35">
      <c r="A1328" s="81"/>
    </row>
    <row r="1329" spans="1:1" customFormat="1" ht="15" customHeight="1" x14ac:dyDescent="0.35">
      <c r="A1329" s="81"/>
    </row>
    <row r="1330" spans="1:1" customFormat="1" ht="15" customHeight="1" x14ac:dyDescent="0.35">
      <c r="A1330" s="81"/>
    </row>
    <row r="1331" spans="1:1" customFormat="1" ht="15" customHeight="1" x14ac:dyDescent="0.35">
      <c r="A1331" s="81"/>
    </row>
    <row r="1332" spans="1:1" customFormat="1" ht="15" customHeight="1" x14ac:dyDescent="0.35">
      <c r="A1332" s="81"/>
    </row>
    <row r="1333" spans="1:1" customFormat="1" ht="15" customHeight="1" x14ac:dyDescent="0.35">
      <c r="A1333" s="81"/>
    </row>
    <row r="1334" spans="1:1" customFormat="1" ht="15" customHeight="1" x14ac:dyDescent="0.35">
      <c r="A1334" s="81"/>
    </row>
    <row r="1335" spans="1:1" customFormat="1" ht="15" customHeight="1" x14ac:dyDescent="0.35">
      <c r="A1335" s="81"/>
    </row>
    <row r="1336" spans="1:1" customFormat="1" ht="15" customHeight="1" x14ac:dyDescent="0.35">
      <c r="A1336" s="81"/>
    </row>
    <row r="1337" spans="1:1" customFormat="1" ht="15" customHeight="1" x14ac:dyDescent="0.35">
      <c r="A1337" s="81"/>
    </row>
    <row r="1338" spans="1:1" customFormat="1" ht="15" customHeight="1" x14ac:dyDescent="0.35">
      <c r="A1338" s="81"/>
    </row>
    <row r="1339" spans="1:1" customFormat="1" ht="15" customHeight="1" x14ac:dyDescent="0.35">
      <c r="A1339" s="81"/>
    </row>
    <row r="1340" spans="1:1" customFormat="1" ht="15" customHeight="1" x14ac:dyDescent="0.35">
      <c r="A1340" s="81"/>
    </row>
    <row r="1341" spans="1:1" customFormat="1" ht="15" customHeight="1" x14ac:dyDescent="0.35">
      <c r="A1341" s="81"/>
    </row>
    <row r="1342" spans="1:1" customFormat="1" ht="15" customHeight="1" x14ac:dyDescent="0.35">
      <c r="A1342" s="81"/>
    </row>
    <row r="1343" spans="1:1" customFormat="1" ht="15" customHeight="1" x14ac:dyDescent="0.35">
      <c r="A1343" s="81"/>
    </row>
    <row r="1344" spans="1:1" customFormat="1" ht="15" customHeight="1" x14ac:dyDescent="0.35">
      <c r="A1344" s="81"/>
    </row>
    <row r="1345" spans="1:1" customFormat="1" ht="15" customHeight="1" x14ac:dyDescent="0.35">
      <c r="A1345" s="81"/>
    </row>
    <row r="1346" spans="1:1" customFormat="1" ht="15" customHeight="1" x14ac:dyDescent="0.35">
      <c r="A1346" s="81"/>
    </row>
    <row r="1347" spans="1:1" customFormat="1" ht="15" customHeight="1" x14ac:dyDescent="0.35">
      <c r="A1347" s="81"/>
    </row>
    <row r="1348" spans="1:1" customFormat="1" ht="15" customHeight="1" x14ac:dyDescent="0.35">
      <c r="A1348" s="81"/>
    </row>
    <row r="1349" spans="1:1" customFormat="1" ht="15" customHeight="1" x14ac:dyDescent="0.35">
      <c r="A1349" s="81"/>
    </row>
    <row r="1350" spans="1:1" customFormat="1" ht="15" customHeight="1" x14ac:dyDescent="0.35">
      <c r="A1350" s="81"/>
    </row>
    <row r="1351" spans="1:1" customFormat="1" ht="15" customHeight="1" x14ac:dyDescent="0.35">
      <c r="A1351" s="81"/>
    </row>
    <row r="1352" spans="1:1" customFormat="1" ht="15" customHeight="1" x14ac:dyDescent="0.35">
      <c r="A1352" s="81"/>
    </row>
    <row r="1353" spans="1:1" customFormat="1" ht="15" customHeight="1" x14ac:dyDescent="0.35">
      <c r="A1353" s="81"/>
    </row>
    <row r="1354" spans="1:1" customFormat="1" ht="15" customHeight="1" x14ac:dyDescent="0.35">
      <c r="A1354" s="81"/>
    </row>
    <row r="1355" spans="1:1" customFormat="1" ht="15" customHeight="1" x14ac:dyDescent="0.35">
      <c r="A1355" s="81"/>
    </row>
    <row r="1356" spans="1:1" customFormat="1" ht="15" customHeight="1" x14ac:dyDescent="0.35">
      <c r="A1356" s="81"/>
    </row>
    <row r="1357" spans="1:1" customFormat="1" ht="15" customHeight="1" x14ac:dyDescent="0.35">
      <c r="A1357" s="81"/>
    </row>
    <row r="1358" spans="1:1" customFormat="1" ht="15" customHeight="1" x14ac:dyDescent="0.35">
      <c r="A1358" s="81"/>
    </row>
    <row r="1359" spans="1:1" customFormat="1" ht="15" customHeight="1" x14ac:dyDescent="0.35">
      <c r="A1359" s="81"/>
    </row>
    <row r="1360" spans="1:1" customFormat="1" ht="15" customHeight="1" x14ac:dyDescent="0.35">
      <c r="A1360" s="81"/>
    </row>
    <row r="1361" spans="1:1" customFormat="1" ht="15" customHeight="1" x14ac:dyDescent="0.35">
      <c r="A1361" s="81"/>
    </row>
    <row r="1362" spans="1:1" customFormat="1" ht="15" customHeight="1" x14ac:dyDescent="0.35">
      <c r="A1362" s="81"/>
    </row>
    <row r="1363" spans="1:1" customFormat="1" ht="15" customHeight="1" x14ac:dyDescent="0.35">
      <c r="A1363" s="81"/>
    </row>
    <row r="1364" spans="1:1" customFormat="1" ht="15" customHeight="1" x14ac:dyDescent="0.35">
      <c r="A1364" s="81"/>
    </row>
    <row r="1365" spans="1:1" customFormat="1" ht="15" customHeight="1" x14ac:dyDescent="0.35">
      <c r="A1365" s="81"/>
    </row>
    <row r="1366" spans="1:1" customFormat="1" ht="15" customHeight="1" x14ac:dyDescent="0.35">
      <c r="A1366" s="81"/>
    </row>
    <row r="1367" spans="1:1" customFormat="1" ht="15" customHeight="1" x14ac:dyDescent="0.35">
      <c r="A1367" s="81"/>
    </row>
    <row r="1368" spans="1:1" customFormat="1" ht="15" customHeight="1" x14ac:dyDescent="0.35">
      <c r="A1368" s="81"/>
    </row>
    <row r="1369" spans="1:1" customFormat="1" ht="15" customHeight="1" x14ac:dyDescent="0.35">
      <c r="A1369" s="81"/>
    </row>
    <row r="1370" spans="1:1" customFormat="1" ht="15" customHeight="1" x14ac:dyDescent="0.35">
      <c r="A1370" s="81"/>
    </row>
    <row r="1371" spans="1:1" customFormat="1" ht="15" customHeight="1" x14ac:dyDescent="0.35">
      <c r="A1371" s="81"/>
    </row>
    <row r="1372" spans="1:1" customFormat="1" ht="15" customHeight="1" x14ac:dyDescent="0.35">
      <c r="A1372" s="81"/>
    </row>
    <row r="1373" spans="1:1" customFormat="1" ht="15" customHeight="1" x14ac:dyDescent="0.35">
      <c r="A1373" s="81"/>
    </row>
    <row r="1374" spans="1:1" customFormat="1" ht="15" customHeight="1" x14ac:dyDescent="0.35">
      <c r="A1374" s="81"/>
    </row>
    <row r="1375" spans="1:1" customFormat="1" ht="15" customHeight="1" x14ac:dyDescent="0.35">
      <c r="A1375" s="81"/>
    </row>
    <row r="1376" spans="1:1" customFormat="1" ht="15" customHeight="1" x14ac:dyDescent="0.35">
      <c r="A1376" s="81"/>
    </row>
    <row r="1377" spans="1:1" customFormat="1" ht="15" customHeight="1" x14ac:dyDescent="0.35">
      <c r="A1377" s="81"/>
    </row>
    <row r="1378" spans="1:1" customFormat="1" ht="15" customHeight="1" x14ac:dyDescent="0.35">
      <c r="A1378" s="81"/>
    </row>
    <row r="1379" spans="1:1" customFormat="1" ht="15" customHeight="1" x14ac:dyDescent="0.35">
      <c r="A1379" s="81"/>
    </row>
    <row r="1380" spans="1:1" customFormat="1" ht="15" customHeight="1" x14ac:dyDescent="0.35">
      <c r="A1380" s="81"/>
    </row>
    <row r="1381" spans="1:1" customFormat="1" ht="15" customHeight="1" x14ac:dyDescent="0.35">
      <c r="A1381" s="81"/>
    </row>
    <row r="1382" spans="1:1" customFormat="1" ht="15" customHeight="1" x14ac:dyDescent="0.35">
      <c r="A1382" s="81"/>
    </row>
    <row r="1383" spans="1:1" customFormat="1" ht="15" customHeight="1" x14ac:dyDescent="0.35">
      <c r="A1383" s="81"/>
    </row>
    <row r="1384" spans="1:1" customFormat="1" ht="15" customHeight="1" x14ac:dyDescent="0.35">
      <c r="A1384" s="81"/>
    </row>
    <row r="1385" spans="1:1" customFormat="1" ht="15" customHeight="1" x14ac:dyDescent="0.35">
      <c r="A1385" s="81"/>
    </row>
    <row r="1386" spans="1:1" customFormat="1" ht="15" customHeight="1" x14ac:dyDescent="0.35">
      <c r="A1386" s="81"/>
    </row>
    <row r="1387" spans="1:1" customFormat="1" ht="15" customHeight="1" x14ac:dyDescent="0.35">
      <c r="A1387" s="81"/>
    </row>
    <row r="1388" spans="1:1" customFormat="1" ht="15" customHeight="1" x14ac:dyDescent="0.35">
      <c r="A1388" s="81"/>
    </row>
    <row r="1389" spans="1:1" customFormat="1" ht="15" customHeight="1" x14ac:dyDescent="0.35">
      <c r="A1389" s="81"/>
    </row>
    <row r="1390" spans="1:1" customFormat="1" ht="15" customHeight="1" x14ac:dyDescent="0.35">
      <c r="A1390" s="81"/>
    </row>
    <row r="1391" spans="1:1" customFormat="1" ht="15" customHeight="1" x14ac:dyDescent="0.35">
      <c r="A1391" s="81"/>
    </row>
    <row r="1392" spans="1:1" customFormat="1" ht="15" customHeight="1" x14ac:dyDescent="0.35">
      <c r="A1392" s="81"/>
    </row>
    <row r="1393" spans="1:1" customFormat="1" ht="15" customHeight="1" x14ac:dyDescent="0.35">
      <c r="A1393" s="81"/>
    </row>
    <row r="1394" spans="1:1" customFormat="1" ht="15" customHeight="1" x14ac:dyDescent="0.35">
      <c r="A1394" s="81"/>
    </row>
    <row r="1395" spans="1:1" customFormat="1" ht="15" customHeight="1" x14ac:dyDescent="0.35">
      <c r="A1395" s="81"/>
    </row>
    <row r="1396" spans="1:1" customFormat="1" ht="15" customHeight="1" x14ac:dyDescent="0.35">
      <c r="A1396" s="81"/>
    </row>
    <row r="1397" spans="1:1" customFormat="1" ht="15" customHeight="1" x14ac:dyDescent="0.35">
      <c r="A1397" s="81"/>
    </row>
    <row r="1398" spans="1:1" customFormat="1" ht="15" customHeight="1" x14ac:dyDescent="0.35">
      <c r="A1398" s="81"/>
    </row>
    <row r="1399" spans="1:1" customFormat="1" ht="15" customHeight="1" x14ac:dyDescent="0.35">
      <c r="A1399" s="81"/>
    </row>
    <row r="1400" spans="1:1" customFormat="1" ht="15" customHeight="1" x14ac:dyDescent="0.35">
      <c r="A1400" s="81"/>
    </row>
  </sheetData>
  <mergeCells count="49">
    <mergeCell ref="B3:AF3"/>
    <mergeCell ref="A12:AG12"/>
    <mergeCell ref="A3:A4"/>
    <mergeCell ref="AG3:AG4"/>
    <mergeCell ref="A20:A21"/>
    <mergeCell ref="B20:AF20"/>
    <mergeCell ref="AG20:AG21"/>
    <mergeCell ref="A29:AG29"/>
    <mergeCell ref="A37:A38"/>
    <mergeCell ref="B37:AF37"/>
    <mergeCell ref="AG37:AG38"/>
    <mergeCell ref="A46:AG46"/>
    <mergeCell ref="A54:A55"/>
    <mergeCell ref="B54:AF54"/>
    <mergeCell ref="AG54:AG55"/>
    <mergeCell ref="A63:AG63"/>
    <mergeCell ref="A71:A72"/>
    <mergeCell ref="B71:AF71"/>
    <mergeCell ref="AG71:AG72"/>
    <mergeCell ref="AG122:AG123"/>
    <mergeCell ref="A80:AG80"/>
    <mergeCell ref="A88:A89"/>
    <mergeCell ref="B88:AF88"/>
    <mergeCell ref="AG88:AG89"/>
    <mergeCell ref="A97:AG97"/>
    <mergeCell ref="A199:AG199"/>
    <mergeCell ref="A156:A157"/>
    <mergeCell ref="B156:AF156"/>
    <mergeCell ref="AG156:AG157"/>
    <mergeCell ref="A165:AG165"/>
    <mergeCell ref="A173:A174"/>
    <mergeCell ref="B173:AF173"/>
    <mergeCell ref="AG173:AG174"/>
    <mergeCell ref="A1:W1"/>
    <mergeCell ref="A182:AG182"/>
    <mergeCell ref="A190:A191"/>
    <mergeCell ref="B190:AF190"/>
    <mergeCell ref="AG190:AG191"/>
    <mergeCell ref="A131:AG131"/>
    <mergeCell ref="A139:A140"/>
    <mergeCell ref="B139:AF139"/>
    <mergeCell ref="AG139:AG140"/>
    <mergeCell ref="A148:AG148"/>
    <mergeCell ref="A105:A106"/>
    <mergeCell ref="B105:AF105"/>
    <mergeCell ref="AG105:AG106"/>
    <mergeCell ref="A114:AG114"/>
    <mergeCell ref="A122:A123"/>
    <mergeCell ref="B122:AF122"/>
  </mergeCells>
  <conditionalFormatting sqref="B8:AF10 B6:AF6">
    <cfRule type="expression" priority="186" stopIfTrue="1">
      <formula>B6=""</formula>
    </cfRule>
    <cfRule type="expression" dxfId="1022" priority="188" stopIfTrue="1">
      <formula>B6=KeyCustom1</formula>
    </cfRule>
    <cfRule type="expression" dxfId="1021" priority="189" stopIfTrue="1">
      <formula>B6=KeySick</formula>
    </cfRule>
    <cfRule type="expression" dxfId="1020" priority="190" stopIfTrue="1">
      <formula>B6=KeyPersonal</formula>
    </cfRule>
  </conditionalFormatting>
  <conditionalFormatting sqref="AG8:AG10 AG6">
    <cfRule type="dataBar" priority="203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{ECCE2C3C-1B01-4700-B60E-DAAAB19A9C1A}</x14:id>
        </ext>
      </extLst>
    </cfRule>
  </conditionalFormatting>
  <conditionalFormatting sqref="G13">
    <cfRule type="colorScale" priority="184">
      <colorScale>
        <cfvo type="min"/>
        <cfvo type="max"/>
        <color rgb="FF00B050"/>
        <color rgb="FF00B050"/>
      </colorScale>
    </cfRule>
    <cfRule type="colorScale" priority="185">
      <colorScale>
        <cfvo type="min"/>
        <cfvo type="max"/>
        <color rgb="FF00B050"/>
        <color rgb="FFFFEF9C"/>
      </colorScale>
    </cfRule>
  </conditionalFormatting>
  <conditionalFormatting sqref="B8:AF13 B6:AF6">
    <cfRule type="expression" dxfId="1019" priority="187" stopIfTrue="1">
      <formula>B6=KeyCustom2</formula>
    </cfRule>
    <cfRule type="expression" dxfId="1018" priority="191" stopIfTrue="1">
      <formula>B6=KeyVacation</formula>
    </cfRule>
  </conditionalFormatting>
  <conditionalFormatting sqref="B7:AF7">
    <cfRule type="expression" priority="177" stopIfTrue="1">
      <formula>B7=""</formula>
    </cfRule>
    <cfRule type="expression" dxfId="1017" priority="179" stopIfTrue="1">
      <formula>B7=KeyCustom1</formula>
    </cfRule>
    <cfRule type="expression" dxfId="1016" priority="180" stopIfTrue="1">
      <formula>B7=KeySick</formula>
    </cfRule>
    <cfRule type="expression" dxfId="1015" priority="181" stopIfTrue="1">
      <formula>B7=KeyPersonal</formula>
    </cfRule>
  </conditionalFormatting>
  <conditionalFormatting sqref="AG7">
    <cfRule type="dataBar" priority="183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{38E4BFF0-B3A5-440B-92B8-50E252256E5F}</x14:id>
        </ext>
      </extLst>
    </cfRule>
  </conditionalFormatting>
  <conditionalFormatting sqref="B7:AF7">
    <cfRule type="expression" dxfId="1014" priority="178" stopIfTrue="1">
      <formula>B7=KeyCustom2</formula>
    </cfRule>
    <cfRule type="expression" dxfId="1013" priority="182" stopIfTrue="1">
      <formula>B7=KeyVacation</formula>
    </cfRule>
  </conditionalFormatting>
  <conditionalFormatting sqref="B25:AF27 B23:AF23">
    <cfRule type="expression" priority="170" stopIfTrue="1">
      <formula>B23=""</formula>
    </cfRule>
    <cfRule type="expression" dxfId="1012" priority="172" stopIfTrue="1">
      <formula>B23=KeyCustom1</formula>
    </cfRule>
    <cfRule type="expression" dxfId="1011" priority="173" stopIfTrue="1">
      <formula>B23=KeySick</formula>
    </cfRule>
    <cfRule type="expression" dxfId="1010" priority="174" stopIfTrue="1">
      <formula>B23=KeyPersonal</formula>
    </cfRule>
  </conditionalFormatting>
  <conditionalFormatting sqref="AG25:AG27 AG23">
    <cfRule type="dataBar" priority="176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{4C7DB8F4-0687-4DE3-9DDF-131FDC579F01}</x14:id>
        </ext>
      </extLst>
    </cfRule>
  </conditionalFormatting>
  <conditionalFormatting sqref="G30">
    <cfRule type="colorScale" priority="168">
      <colorScale>
        <cfvo type="min"/>
        <cfvo type="max"/>
        <color rgb="FF00B050"/>
        <color rgb="FF00B050"/>
      </colorScale>
    </cfRule>
    <cfRule type="colorScale" priority="169">
      <colorScale>
        <cfvo type="min"/>
        <cfvo type="max"/>
        <color rgb="FF00B050"/>
        <color rgb="FFFFEF9C"/>
      </colorScale>
    </cfRule>
  </conditionalFormatting>
  <conditionalFormatting sqref="B25:AF30 B23:AF23">
    <cfRule type="expression" dxfId="1009" priority="171" stopIfTrue="1">
      <formula>B23=KeyCustom2</formula>
    </cfRule>
    <cfRule type="expression" dxfId="1008" priority="175" stopIfTrue="1">
      <formula>B23=KeyVacation</formula>
    </cfRule>
  </conditionalFormatting>
  <conditionalFormatting sqref="B24:AF24">
    <cfRule type="expression" priority="161" stopIfTrue="1">
      <formula>B24=""</formula>
    </cfRule>
    <cfRule type="expression" dxfId="1007" priority="163" stopIfTrue="1">
      <formula>B24=KeyCustom1</formula>
    </cfRule>
    <cfRule type="expression" dxfId="1006" priority="164" stopIfTrue="1">
      <formula>B24=KeySick</formula>
    </cfRule>
    <cfRule type="expression" dxfId="1005" priority="165" stopIfTrue="1">
      <formula>B24=KeyPersonal</formula>
    </cfRule>
  </conditionalFormatting>
  <conditionalFormatting sqref="AG24">
    <cfRule type="dataBar" priority="167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{4EA9E853-50AB-47CD-8886-D10C405BA47E}</x14:id>
        </ext>
      </extLst>
    </cfRule>
  </conditionalFormatting>
  <conditionalFormatting sqref="B24:AF24">
    <cfRule type="expression" dxfId="1004" priority="162" stopIfTrue="1">
      <formula>B24=KeyCustom2</formula>
    </cfRule>
    <cfRule type="expression" dxfId="1003" priority="166" stopIfTrue="1">
      <formula>B24=KeyVacation</formula>
    </cfRule>
  </conditionalFormatting>
  <conditionalFormatting sqref="B42:AF44 B40:AF40">
    <cfRule type="expression" priority="154" stopIfTrue="1">
      <formula>B40=""</formula>
    </cfRule>
    <cfRule type="expression" dxfId="1002" priority="156" stopIfTrue="1">
      <formula>B40=KeyCustom1</formula>
    </cfRule>
    <cfRule type="expression" dxfId="1001" priority="157" stopIfTrue="1">
      <formula>B40=KeySick</formula>
    </cfRule>
    <cfRule type="expression" dxfId="1000" priority="158" stopIfTrue="1">
      <formula>B40=KeyPersonal</formula>
    </cfRule>
  </conditionalFormatting>
  <conditionalFormatting sqref="AG42:AG44 AG40">
    <cfRule type="dataBar" priority="160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{AC51569D-246B-4371-9506-DA77EC258153}</x14:id>
        </ext>
      </extLst>
    </cfRule>
  </conditionalFormatting>
  <conditionalFormatting sqref="G47">
    <cfRule type="colorScale" priority="152">
      <colorScale>
        <cfvo type="min"/>
        <cfvo type="max"/>
        <color rgb="FF00B050"/>
        <color rgb="FF00B050"/>
      </colorScale>
    </cfRule>
    <cfRule type="colorScale" priority="153">
      <colorScale>
        <cfvo type="min"/>
        <cfvo type="max"/>
        <color rgb="FF00B050"/>
        <color rgb="FFFFEF9C"/>
      </colorScale>
    </cfRule>
  </conditionalFormatting>
  <conditionalFormatting sqref="B42:AF47 B40:AF40">
    <cfRule type="expression" dxfId="999" priority="155" stopIfTrue="1">
      <formula>B40=KeyCustom2</formula>
    </cfRule>
    <cfRule type="expression" dxfId="998" priority="159" stopIfTrue="1">
      <formula>B40=KeyVacation</formula>
    </cfRule>
  </conditionalFormatting>
  <conditionalFormatting sqref="B41:AF41">
    <cfRule type="expression" priority="145" stopIfTrue="1">
      <formula>B41=""</formula>
    </cfRule>
    <cfRule type="expression" dxfId="997" priority="147" stopIfTrue="1">
      <formula>B41=KeyCustom1</formula>
    </cfRule>
    <cfRule type="expression" dxfId="996" priority="148" stopIfTrue="1">
      <formula>B41=KeySick</formula>
    </cfRule>
    <cfRule type="expression" dxfId="995" priority="149" stopIfTrue="1">
      <formula>B41=KeyPersonal</formula>
    </cfRule>
  </conditionalFormatting>
  <conditionalFormatting sqref="AG41">
    <cfRule type="dataBar" priority="151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{165EA913-3793-4D96-BFF7-1A8F06A31D1D}</x14:id>
        </ext>
      </extLst>
    </cfRule>
  </conditionalFormatting>
  <conditionalFormatting sqref="B41:AF41">
    <cfRule type="expression" dxfId="994" priority="146" stopIfTrue="1">
      <formula>B41=KeyCustom2</formula>
    </cfRule>
    <cfRule type="expression" dxfId="993" priority="150" stopIfTrue="1">
      <formula>B41=KeyVacation</formula>
    </cfRule>
  </conditionalFormatting>
  <conditionalFormatting sqref="B59:AF61 B57:AF57">
    <cfRule type="expression" priority="138" stopIfTrue="1">
      <formula>B57=""</formula>
    </cfRule>
    <cfRule type="expression" dxfId="992" priority="140" stopIfTrue="1">
      <formula>B57=KeyCustom1</formula>
    </cfRule>
    <cfRule type="expression" dxfId="991" priority="141" stopIfTrue="1">
      <formula>B57=KeySick</formula>
    </cfRule>
    <cfRule type="expression" dxfId="990" priority="142" stopIfTrue="1">
      <formula>B57=KeyPersonal</formula>
    </cfRule>
  </conditionalFormatting>
  <conditionalFormatting sqref="AG59:AG61 AG57">
    <cfRule type="dataBar" priority="144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{4195EB8C-4892-4DCF-AB1A-89B56E2CF5E0}</x14:id>
        </ext>
      </extLst>
    </cfRule>
  </conditionalFormatting>
  <conditionalFormatting sqref="G64">
    <cfRule type="colorScale" priority="136">
      <colorScale>
        <cfvo type="min"/>
        <cfvo type="max"/>
        <color rgb="FF00B050"/>
        <color rgb="FF00B050"/>
      </colorScale>
    </cfRule>
    <cfRule type="colorScale" priority="137">
      <colorScale>
        <cfvo type="min"/>
        <cfvo type="max"/>
        <color rgb="FF00B050"/>
        <color rgb="FFFFEF9C"/>
      </colorScale>
    </cfRule>
  </conditionalFormatting>
  <conditionalFormatting sqref="B59:AF64 B57:AF57">
    <cfRule type="expression" dxfId="989" priority="139" stopIfTrue="1">
      <formula>B57=KeyCustom2</formula>
    </cfRule>
    <cfRule type="expression" dxfId="988" priority="143" stopIfTrue="1">
      <formula>B57=KeyVacation</formula>
    </cfRule>
  </conditionalFormatting>
  <conditionalFormatting sqref="B58:AF58">
    <cfRule type="expression" priority="129" stopIfTrue="1">
      <formula>B58=""</formula>
    </cfRule>
    <cfRule type="expression" dxfId="987" priority="131" stopIfTrue="1">
      <formula>B58=KeyCustom1</formula>
    </cfRule>
    <cfRule type="expression" dxfId="986" priority="132" stopIfTrue="1">
      <formula>B58=KeySick</formula>
    </cfRule>
    <cfRule type="expression" dxfId="985" priority="133" stopIfTrue="1">
      <formula>B58=KeyPersonal</formula>
    </cfRule>
  </conditionalFormatting>
  <conditionalFormatting sqref="AG58">
    <cfRule type="dataBar" priority="135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{1077AC43-9E33-4405-9CCB-D6DF5A0DF3EE}</x14:id>
        </ext>
      </extLst>
    </cfRule>
  </conditionalFormatting>
  <conditionalFormatting sqref="B58:AF58">
    <cfRule type="expression" dxfId="984" priority="130" stopIfTrue="1">
      <formula>B58=KeyCustom2</formula>
    </cfRule>
    <cfRule type="expression" dxfId="983" priority="134" stopIfTrue="1">
      <formula>B58=KeyVacation</formula>
    </cfRule>
  </conditionalFormatting>
  <conditionalFormatting sqref="B76:AF78 B74:AF74">
    <cfRule type="expression" priority="122" stopIfTrue="1">
      <formula>B74=""</formula>
    </cfRule>
    <cfRule type="expression" dxfId="982" priority="124" stopIfTrue="1">
      <formula>B74=KeyCustom1</formula>
    </cfRule>
    <cfRule type="expression" dxfId="981" priority="125" stopIfTrue="1">
      <formula>B74=KeySick</formula>
    </cfRule>
    <cfRule type="expression" dxfId="980" priority="126" stopIfTrue="1">
      <formula>B74=KeyPersonal</formula>
    </cfRule>
  </conditionalFormatting>
  <conditionalFormatting sqref="AG76:AG78 AG74">
    <cfRule type="dataBar" priority="128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{53276F91-A977-4470-A548-7BF1D727C717}</x14:id>
        </ext>
      </extLst>
    </cfRule>
  </conditionalFormatting>
  <conditionalFormatting sqref="G81">
    <cfRule type="colorScale" priority="120">
      <colorScale>
        <cfvo type="min"/>
        <cfvo type="max"/>
        <color rgb="FF00B050"/>
        <color rgb="FF00B050"/>
      </colorScale>
    </cfRule>
    <cfRule type="colorScale" priority="121">
      <colorScale>
        <cfvo type="min"/>
        <cfvo type="max"/>
        <color rgb="FF00B050"/>
        <color rgb="FFFFEF9C"/>
      </colorScale>
    </cfRule>
  </conditionalFormatting>
  <conditionalFormatting sqref="B76:AF81 B74:AF74">
    <cfRule type="expression" dxfId="979" priority="123" stopIfTrue="1">
      <formula>B74=KeyCustom2</formula>
    </cfRule>
    <cfRule type="expression" dxfId="978" priority="127" stopIfTrue="1">
      <formula>B74=KeyVacation</formula>
    </cfRule>
  </conditionalFormatting>
  <conditionalFormatting sqref="B75:AF75">
    <cfRule type="expression" priority="113" stopIfTrue="1">
      <formula>B75=""</formula>
    </cfRule>
    <cfRule type="expression" dxfId="977" priority="115" stopIfTrue="1">
      <formula>B75=KeyCustom1</formula>
    </cfRule>
    <cfRule type="expression" dxfId="976" priority="116" stopIfTrue="1">
      <formula>B75=KeySick</formula>
    </cfRule>
    <cfRule type="expression" dxfId="975" priority="117" stopIfTrue="1">
      <formula>B75=KeyPersonal</formula>
    </cfRule>
  </conditionalFormatting>
  <conditionalFormatting sqref="AG75">
    <cfRule type="dataBar" priority="119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{25526758-E794-4769-9100-05C1935CC1CE}</x14:id>
        </ext>
      </extLst>
    </cfRule>
  </conditionalFormatting>
  <conditionalFormatting sqref="B75:AF75">
    <cfRule type="expression" dxfId="974" priority="114" stopIfTrue="1">
      <formula>B75=KeyCustom2</formula>
    </cfRule>
    <cfRule type="expression" dxfId="973" priority="118" stopIfTrue="1">
      <formula>B75=KeyVacation</formula>
    </cfRule>
  </conditionalFormatting>
  <conditionalFormatting sqref="B93:AF95 B91:AF91">
    <cfRule type="expression" priority="106" stopIfTrue="1">
      <formula>B91=""</formula>
    </cfRule>
    <cfRule type="expression" dxfId="972" priority="108" stopIfTrue="1">
      <formula>B91=KeyCustom1</formula>
    </cfRule>
    <cfRule type="expression" dxfId="971" priority="109" stopIfTrue="1">
      <formula>B91=KeySick</formula>
    </cfRule>
    <cfRule type="expression" dxfId="970" priority="110" stopIfTrue="1">
      <formula>B91=KeyPersonal</formula>
    </cfRule>
  </conditionalFormatting>
  <conditionalFormatting sqref="AG93:AG95 AG91">
    <cfRule type="dataBar" priority="112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{08290556-ED4D-446B-9263-D5CDA203D17F}</x14:id>
        </ext>
      </extLst>
    </cfRule>
  </conditionalFormatting>
  <conditionalFormatting sqref="G98">
    <cfRule type="colorScale" priority="104">
      <colorScale>
        <cfvo type="min"/>
        <cfvo type="max"/>
        <color rgb="FF00B050"/>
        <color rgb="FF00B050"/>
      </colorScale>
    </cfRule>
    <cfRule type="colorScale" priority="105">
      <colorScale>
        <cfvo type="min"/>
        <cfvo type="max"/>
        <color rgb="FF00B050"/>
        <color rgb="FFFFEF9C"/>
      </colorScale>
    </cfRule>
  </conditionalFormatting>
  <conditionalFormatting sqref="B93:AF98 B91:AF91">
    <cfRule type="expression" dxfId="969" priority="107" stopIfTrue="1">
      <formula>B91=KeyCustom2</formula>
    </cfRule>
    <cfRule type="expression" dxfId="968" priority="111" stopIfTrue="1">
      <formula>B91=KeyVacation</formula>
    </cfRule>
  </conditionalFormatting>
  <conditionalFormatting sqref="B92:AF92">
    <cfRule type="expression" priority="97" stopIfTrue="1">
      <formula>B92=""</formula>
    </cfRule>
    <cfRule type="expression" dxfId="967" priority="99" stopIfTrue="1">
      <formula>B92=KeyCustom1</formula>
    </cfRule>
    <cfRule type="expression" dxfId="966" priority="100" stopIfTrue="1">
      <formula>B92=KeySick</formula>
    </cfRule>
    <cfRule type="expression" dxfId="965" priority="101" stopIfTrue="1">
      <formula>B92=KeyPersonal</formula>
    </cfRule>
  </conditionalFormatting>
  <conditionalFormatting sqref="AG92">
    <cfRule type="dataBar" priority="103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{70F9A3BD-BC67-4347-A4BE-39345DC6901A}</x14:id>
        </ext>
      </extLst>
    </cfRule>
  </conditionalFormatting>
  <conditionalFormatting sqref="B92:AF92">
    <cfRule type="expression" dxfId="964" priority="98" stopIfTrue="1">
      <formula>B92=KeyCustom2</formula>
    </cfRule>
    <cfRule type="expression" dxfId="963" priority="102" stopIfTrue="1">
      <formula>B92=KeyVacation</formula>
    </cfRule>
  </conditionalFormatting>
  <conditionalFormatting sqref="B110:AF112 B108:AF108">
    <cfRule type="expression" priority="90" stopIfTrue="1">
      <formula>B108=""</formula>
    </cfRule>
    <cfRule type="expression" dxfId="962" priority="92" stopIfTrue="1">
      <formula>B108=KeyCustom1</formula>
    </cfRule>
    <cfRule type="expression" dxfId="961" priority="93" stopIfTrue="1">
      <formula>B108=KeySick</formula>
    </cfRule>
    <cfRule type="expression" dxfId="960" priority="94" stopIfTrue="1">
      <formula>B108=KeyPersonal</formula>
    </cfRule>
  </conditionalFormatting>
  <conditionalFormatting sqref="AG110:AG112 AG108">
    <cfRule type="dataBar" priority="96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{5B155163-3B03-4E0E-A1EE-BD2B6B4F3438}</x14:id>
        </ext>
      </extLst>
    </cfRule>
  </conditionalFormatting>
  <conditionalFormatting sqref="G115">
    <cfRule type="colorScale" priority="88">
      <colorScale>
        <cfvo type="min"/>
        <cfvo type="max"/>
        <color rgb="FF00B050"/>
        <color rgb="FF00B050"/>
      </colorScale>
    </cfRule>
    <cfRule type="colorScale" priority="89">
      <colorScale>
        <cfvo type="min"/>
        <cfvo type="max"/>
        <color rgb="FF00B050"/>
        <color rgb="FFFFEF9C"/>
      </colorScale>
    </cfRule>
  </conditionalFormatting>
  <conditionalFormatting sqref="B110:AF115 B108:AF108">
    <cfRule type="expression" dxfId="959" priority="91" stopIfTrue="1">
      <formula>B108=KeyCustom2</formula>
    </cfRule>
    <cfRule type="expression" dxfId="958" priority="95" stopIfTrue="1">
      <formula>B108=KeyVacation</formula>
    </cfRule>
  </conditionalFormatting>
  <conditionalFormatting sqref="B109:AF109">
    <cfRule type="expression" priority="81" stopIfTrue="1">
      <formula>B109=""</formula>
    </cfRule>
    <cfRule type="expression" dxfId="957" priority="83" stopIfTrue="1">
      <formula>B109=KeyCustom1</formula>
    </cfRule>
    <cfRule type="expression" dxfId="956" priority="84" stopIfTrue="1">
      <formula>B109=KeySick</formula>
    </cfRule>
    <cfRule type="expression" dxfId="955" priority="85" stopIfTrue="1">
      <formula>B109=KeyPersonal</formula>
    </cfRule>
  </conditionalFormatting>
  <conditionalFormatting sqref="AG109">
    <cfRule type="dataBar" priority="87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{8D24DB81-5F2D-4248-9E66-B29DDE33E0BD}</x14:id>
        </ext>
      </extLst>
    </cfRule>
  </conditionalFormatting>
  <conditionalFormatting sqref="B109:AF109">
    <cfRule type="expression" dxfId="954" priority="82" stopIfTrue="1">
      <formula>B109=KeyCustom2</formula>
    </cfRule>
    <cfRule type="expression" dxfId="953" priority="86" stopIfTrue="1">
      <formula>B109=KeyVacation</formula>
    </cfRule>
  </conditionalFormatting>
  <conditionalFormatting sqref="B127:AF129 B125:AF125">
    <cfRule type="expression" priority="74" stopIfTrue="1">
      <formula>B125=""</formula>
    </cfRule>
    <cfRule type="expression" dxfId="952" priority="76" stopIfTrue="1">
      <formula>B125=KeyCustom1</formula>
    </cfRule>
    <cfRule type="expression" dxfId="951" priority="77" stopIfTrue="1">
      <formula>B125=KeySick</formula>
    </cfRule>
    <cfRule type="expression" dxfId="950" priority="78" stopIfTrue="1">
      <formula>B125=KeyPersonal</formula>
    </cfRule>
  </conditionalFormatting>
  <conditionalFormatting sqref="AG127:AG129 AG125">
    <cfRule type="dataBar" priority="80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{D8BB0C54-0877-4777-8F38-08A0BCC0125F}</x14:id>
        </ext>
      </extLst>
    </cfRule>
  </conditionalFormatting>
  <conditionalFormatting sqref="G132">
    <cfRule type="colorScale" priority="72">
      <colorScale>
        <cfvo type="min"/>
        <cfvo type="max"/>
        <color rgb="FF00B050"/>
        <color rgb="FF00B050"/>
      </colorScale>
    </cfRule>
    <cfRule type="colorScale" priority="73">
      <colorScale>
        <cfvo type="min"/>
        <cfvo type="max"/>
        <color rgb="FF00B050"/>
        <color rgb="FFFFEF9C"/>
      </colorScale>
    </cfRule>
  </conditionalFormatting>
  <conditionalFormatting sqref="B127:AF132 B125:AF125">
    <cfRule type="expression" dxfId="949" priority="75" stopIfTrue="1">
      <formula>B125=KeyCustom2</formula>
    </cfRule>
    <cfRule type="expression" dxfId="948" priority="79" stopIfTrue="1">
      <formula>B125=KeyVacation</formula>
    </cfRule>
  </conditionalFormatting>
  <conditionalFormatting sqref="B126:AF126">
    <cfRule type="expression" priority="65" stopIfTrue="1">
      <formula>B126=""</formula>
    </cfRule>
    <cfRule type="expression" dxfId="947" priority="67" stopIfTrue="1">
      <formula>B126=KeyCustom1</formula>
    </cfRule>
    <cfRule type="expression" dxfId="946" priority="68" stopIfTrue="1">
      <formula>B126=KeySick</formula>
    </cfRule>
    <cfRule type="expression" dxfId="945" priority="69" stopIfTrue="1">
      <formula>B126=KeyPersonal</formula>
    </cfRule>
  </conditionalFormatting>
  <conditionalFormatting sqref="AG126">
    <cfRule type="dataBar" priority="71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{6D5A05CB-3B45-480F-9457-AEF0AC835461}</x14:id>
        </ext>
      </extLst>
    </cfRule>
  </conditionalFormatting>
  <conditionalFormatting sqref="B126:AF126">
    <cfRule type="expression" dxfId="944" priority="66" stopIfTrue="1">
      <formula>B126=KeyCustom2</formula>
    </cfRule>
    <cfRule type="expression" dxfId="943" priority="70" stopIfTrue="1">
      <formula>B126=KeyVacation</formula>
    </cfRule>
  </conditionalFormatting>
  <conditionalFormatting sqref="B144:AF146 B142:AF142">
    <cfRule type="expression" priority="58" stopIfTrue="1">
      <formula>B142=""</formula>
    </cfRule>
    <cfRule type="expression" dxfId="942" priority="60" stopIfTrue="1">
      <formula>B142=KeyCustom1</formula>
    </cfRule>
    <cfRule type="expression" dxfId="941" priority="61" stopIfTrue="1">
      <formula>B142=KeySick</formula>
    </cfRule>
    <cfRule type="expression" dxfId="940" priority="62" stopIfTrue="1">
      <formula>B142=KeyPersonal</formula>
    </cfRule>
  </conditionalFormatting>
  <conditionalFormatting sqref="AG144:AG146 AG142">
    <cfRule type="dataBar" priority="64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{EA521087-F983-46A5-8F18-8B32E7D34CC3}</x14:id>
        </ext>
      </extLst>
    </cfRule>
  </conditionalFormatting>
  <conditionalFormatting sqref="G149">
    <cfRule type="colorScale" priority="56">
      <colorScale>
        <cfvo type="min"/>
        <cfvo type="max"/>
        <color rgb="FF00B050"/>
        <color rgb="FF00B050"/>
      </colorScale>
    </cfRule>
    <cfRule type="colorScale" priority="57">
      <colorScale>
        <cfvo type="min"/>
        <cfvo type="max"/>
        <color rgb="FF00B050"/>
        <color rgb="FFFFEF9C"/>
      </colorScale>
    </cfRule>
  </conditionalFormatting>
  <conditionalFormatting sqref="B144:AF149 B142:AF142">
    <cfRule type="expression" dxfId="939" priority="59" stopIfTrue="1">
      <formula>B142=KeyCustom2</formula>
    </cfRule>
    <cfRule type="expression" dxfId="938" priority="63" stopIfTrue="1">
      <formula>B142=KeyVacation</formula>
    </cfRule>
  </conditionalFormatting>
  <conditionalFormatting sqref="B143:AF143">
    <cfRule type="expression" priority="49" stopIfTrue="1">
      <formula>B143=""</formula>
    </cfRule>
    <cfRule type="expression" dxfId="937" priority="51" stopIfTrue="1">
      <formula>B143=KeyCustom1</formula>
    </cfRule>
    <cfRule type="expression" dxfId="936" priority="52" stopIfTrue="1">
      <formula>B143=KeySick</formula>
    </cfRule>
    <cfRule type="expression" dxfId="935" priority="53" stopIfTrue="1">
      <formula>B143=KeyPersonal</formula>
    </cfRule>
  </conditionalFormatting>
  <conditionalFormatting sqref="AG143">
    <cfRule type="dataBar" priority="55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{E885CCE8-4255-4DEB-885A-F37018FCF8CE}</x14:id>
        </ext>
      </extLst>
    </cfRule>
  </conditionalFormatting>
  <conditionalFormatting sqref="B143:AF143">
    <cfRule type="expression" dxfId="934" priority="50" stopIfTrue="1">
      <formula>B143=KeyCustom2</formula>
    </cfRule>
    <cfRule type="expression" dxfId="933" priority="54" stopIfTrue="1">
      <formula>B143=KeyVacation</formula>
    </cfRule>
  </conditionalFormatting>
  <conditionalFormatting sqref="B161:AF163 B159:AF159">
    <cfRule type="expression" priority="42" stopIfTrue="1">
      <formula>B159=""</formula>
    </cfRule>
    <cfRule type="expression" dxfId="932" priority="44" stopIfTrue="1">
      <formula>B159=KeyCustom1</formula>
    </cfRule>
    <cfRule type="expression" dxfId="931" priority="45" stopIfTrue="1">
      <formula>B159=KeySick</formula>
    </cfRule>
    <cfRule type="expression" dxfId="930" priority="46" stopIfTrue="1">
      <formula>B159=KeyPersonal</formula>
    </cfRule>
  </conditionalFormatting>
  <conditionalFormatting sqref="AG161:AG163 AG159">
    <cfRule type="dataBar" priority="48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{FD3E6BA1-961D-4388-8ACF-E55A44B5557D}</x14:id>
        </ext>
      </extLst>
    </cfRule>
  </conditionalFormatting>
  <conditionalFormatting sqref="G166">
    <cfRule type="colorScale" priority="40">
      <colorScale>
        <cfvo type="min"/>
        <cfvo type="max"/>
        <color rgb="FF00B050"/>
        <color rgb="FF00B050"/>
      </colorScale>
    </cfRule>
    <cfRule type="colorScale" priority="41">
      <colorScale>
        <cfvo type="min"/>
        <cfvo type="max"/>
        <color rgb="FF00B050"/>
        <color rgb="FFFFEF9C"/>
      </colorScale>
    </cfRule>
  </conditionalFormatting>
  <conditionalFormatting sqref="B161:AF166 B159:AF159">
    <cfRule type="expression" dxfId="929" priority="43" stopIfTrue="1">
      <formula>B159=KeyCustom2</formula>
    </cfRule>
    <cfRule type="expression" dxfId="928" priority="47" stopIfTrue="1">
      <formula>B159=KeyVacation</formula>
    </cfRule>
  </conditionalFormatting>
  <conditionalFormatting sqref="B160:AF160">
    <cfRule type="expression" priority="33" stopIfTrue="1">
      <formula>B160=""</formula>
    </cfRule>
    <cfRule type="expression" dxfId="927" priority="35" stopIfTrue="1">
      <formula>B160=KeyCustom1</formula>
    </cfRule>
    <cfRule type="expression" dxfId="926" priority="36" stopIfTrue="1">
      <formula>B160=KeySick</formula>
    </cfRule>
    <cfRule type="expression" dxfId="925" priority="37" stopIfTrue="1">
      <formula>B160=KeyPersonal</formula>
    </cfRule>
  </conditionalFormatting>
  <conditionalFormatting sqref="AG160">
    <cfRule type="dataBar" priority="39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{BCA39307-E34C-42F2-AD04-08DBB5B80653}</x14:id>
        </ext>
      </extLst>
    </cfRule>
  </conditionalFormatting>
  <conditionalFormatting sqref="B160:AF160">
    <cfRule type="expression" dxfId="924" priority="34" stopIfTrue="1">
      <formula>B160=KeyCustom2</formula>
    </cfRule>
    <cfRule type="expression" dxfId="923" priority="38" stopIfTrue="1">
      <formula>B160=KeyVacation</formula>
    </cfRule>
  </conditionalFormatting>
  <conditionalFormatting sqref="B178:AF180 B176:AF176">
    <cfRule type="expression" priority="26" stopIfTrue="1">
      <formula>B176=""</formula>
    </cfRule>
    <cfRule type="expression" dxfId="922" priority="28" stopIfTrue="1">
      <formula>B176=KeyCustom1</formula>
    </cfRule>
    <cfRule type="expression" dxfId="921" priority="29" stopIfTrue="1">
      <formula>B176=KeySick</formula>
    </cfRule>
    <cfRule type="expression" dxfId="920" priority="30" stopIfTrue="1">
      <formula>B176=KeyPersonal</formula>
    </cfRule>
  </conditionalFormatting>
  <conditionalFormatting sqref="AG178:AG180 AG176">
    <cfRule type="dataBar" priority="32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{9B7A2CC4-595A-4266-8D55-854F4D0250B7}</x14:id>
        </ext>
      </extLst>
    </cfRule>
  </conditionalFormatting>
  <conditionalFormatting sqref="G183">
    <cfRule type="colorScale" priority="24">
      <colorScale>
        <cfvo type="min"/>
        <cfvo type="max"/>
        <color rgb="FF00B050"/>
        <color rgb="FF00B050"/>
      </colorScale>
    </cfRule>
    <cfRule type="colorScale" priority="25">
      <colorScale>
        <cfvo type="min"/>
        <cfvo type="max"/>
        <color rgb="FF00B050"/>
        <color rgb="FFFFEF9C"/>
      </colorScale>
    </cfRule>
  </conditionalFormatting>
  <conditionalFormatting sqref="B178:AF183 B176:AF176">
    <cfRule type="expression" dxfId="919" priority="27" stopIfTrue="1">
      <formula>B176=KeyCustom2</formula>
    </cfRule>
    <cfRule type="expression" dxfId="918" priority="31" stopIfTrue="1">
      <formula>B176=KeyVacation</formula>
    </cfRule>
  </conditionalFormatting>
  <conditionalFormatting sqref="B177:AF177">
    <cfRule type="expression" priority="17" stopIfTrue="1">
      <formula>B177=""</formula>
    </cfRule>
    <cfRule type="expression" dxfId="917" priority="19" stopIfTrue="1">
      <formula>B177=KeyCustom1</formula>
    </cfRule>
    <cfRule type="expression" dxfId="916" priority="20" stopIfTrue="1">
      <formula>B177=KeySick</formula>
    </cfRule>
    <cfRule type="expression" dxfId="915" priority="21" stopIfTrue="1">
      <formula>B177=KeyPersonal</formula>
    </cfRule>
  </conditionalFormatting>
  <conditionalFormatting sqref="AG177">
    <cfRule type="dataBar" priority="23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{D8BEEB9B-975C-4E9D-BC35-53A9A5DC8E3E}</x14:id>
        </ext>
      </extLst>
    </cfRule>
  </conditionalFormatting>
  <conditionalFormatting sqref="B177:AF177">
    <cfRule type="expression" dxfId="914" priority="18" stopIfTrue="1">
      <formula>B177=KeyCustom2</formula>
    </cfRule>
    <cfRule type="expression" dxfId="913" priority="22" stopIfTrue="1">
      <formula>B177=KeyVacation</formula>
    </cfRule>
  </conditionalFormatting>
  <conditionalFormatting sqref="B195:AF197 B193:AF193">
    <cfRule type="expression" priority="10" stopIfTrue="1">
      <formula>B193=""</formula>
    </cfRule>
    <cfRule type="expression" dxfId="912" priority="12" stopIfTrue="1">
      <formula>B193=KeyCustom1</formula>
    </cfRule>
    <cfRule type="expression" dxfId="911" priority="13" stopIfTrue="1">
      <formula>B193=KeySick</formula>
    </cfRule>
    <cfRule type="expression" dxfId="910" priority="14" stopIfTrue="1">
      <formula>B193=KeyPersonal</formula>
    </cfRule>
  </conditionalFormatting>
  <conditionalFormatting sqref="AG195:AG197 AG193">
    <cfRule type="dataBar" priority="16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{08D245B7-0B9B-444C-B174-85E9160DDF3B}</x14:id>
        </ext>
      </extLst>
    </cfRule>
  </conditionalFormatting>
  <conditionalFormatting sqref="G200">
    <cfRule type="colorScale" priority="8">
      <colorScale>
        <cfvo type="min"/>
        <cfvo type="max"/>
        <color rgb="FF00B050"/>
        <color rgb="FF00B050"/>
      </colorScale>
    </cfRule>
    <cfRule type="colorScale" priority="9">
      <colorScale>
        <cfvo type="min"/>
        <cfvo type="max"/>
        <color rgb="FF00B050"/>
        <color rgb="FFFFEF9C"/>
      </colorScale>
    </cfRule>
  </conditionalFormatting>
  <conditionalFormatting sqref="B195:AF200 B193:AF193">
    <cfRule type="expression" dxfId="909" priority="11" stopIfTrue="1">
      <formula>B193=KeyCustom2</formula>
    </cfRule>
    <cfRule type="expression" dxfId="908" priority="15" stopIfTrue="1">
      <formula>B193=KeyVacation</formula>
    </cfRule>
  </conditionalFormatting>
  <conditionalFormatting sqref="B194:AF194">
    <cfRule type="expression" priority="1" stopIfTrue="1">
      <formula>B194=""</formula>
    </cfRule>
    <cfRule type="expression" dxfId="907" priority="3" stopIfTrue="1">
      <formula>B194=KeyCustom1</formula>
    </cfRule>
    <cfRule type="expression" dxfId="906" priority="4" stopIfTrue="1">
      <formula>B194=KeySick</formula>
    </cfRule>
    <cfRule type="expression" dxfId="905" priority="5" stopIfTrue="1">
      <formula>B194=KeyPersonal</formula>
    </cfRule>
  </conditionalFormatting>
  <conditionalFormatting sqref="AG194">
    <cfRule type="dataBar" priority="7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{52CAF506-C5D4-47FE-A34C-7B2B6CBFB796}</x14:id>
        </ext>
      </extLst>
    </cfRule>
  </conditionalFormatting>
  <conditionalFormatting sqref="B194:AF194">
    <cfRule type="expression" dxfId="904" priority="2" stopIfTrue="1">
      <formula>B194=KeyCustom2</formula>
    </cfRule>
    <cfRule type="expression" dxfId="903" priority="6" stopIfTrue="1">
      <formula>B194=KeyVacation</formula>
    </cfRule>
  </conditionalFormatting>
  <printOptions horizontalCentered="1"/>
  <pageMargins left="0.25" right="0.25" top="0.75" bottom="0.75" header="0.3" footer="0.3"/>
  <pageSetup scale="67" fitToHeight="0" orientation="landscape" r:id="rId1"/>
  <drawing r:id="rId2"/>
  <legacyDrawing r:id="rId3"/>
  <tableParts count="12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CE2C3C-1B01-4700-B60E-DAAAB19A9C1A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AG8:AG10 AG6</xm:sqref>
        </x14:conditionalFormatting>
        <x14:conditionalFormatting xmlns:xm="http://schemas.microsoft.com/office/excel/2006/main">
          <x14:cfRule type="dataBar" id="{38E4BFF0-B3A5-440B-92B8-50E252256E5F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4C7DB8F4-0687-4DE3-9DDF-131FDC579F01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AG25:AG27 AG23</xm:sqref>
        </x14:conditionalFormatting>
        <x14:conditionalFormatting xmlns:xm="http://schemas.microsoft.com/office/excel/2006/main">
          <x14:cfRule type="dataBar" id="{4EA9E853-50AB-47CD-8886-D10C405BA47E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AG24</xm:sqref>
        </x14:conditionalFormatting>
        <x14:conditionalFormatting xmlns:xm="http://schemas.microsoft.com/office/excel/2006/main">
          <x14:cfRule type="dataBar" id="{AC51569D-246B-4371-9506-DA77EC258153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AG42:AG44 AG40</xm:sqref>
        </x14:conditionalFormatting>
        <x14:conditionalFormatting xmlns:xm="http://schemas.microsoft.com/office/excel/2006/main">
          <x14:cfRule type="dataBar" id="{165EA913-3793-4D96-BFF7-1A8F06A31D1D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AG41</xm:sqref>
        </x14:conditionalFormatting>
        <x14:conditionalFormatting xmlns:xm="http://schemas.microsoft.com/office/excel/2006/main">
          <x14:cfRule type="dataBar" id="{4195EB8C-4892-4DCF-AB1A-89B56E2CF5E0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AG59:AG61 AG57</xm:sqref>
        </x14:conditionalFormatting>
        <x14:conditionalFormatting xmlns:xm="http://schemas.microsoft.com/office/excel/2006/main">
          <x14:cfRule type="dataBar" id="{1077AC43-9E33-4405-9CCB-D6DF5A0DF3EE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AG58</xm:sqref>
        </x14:conditionalFormatting>
        <x14:conditionalFormatting xmlns:xm="http://schemas.microsoft.com/office/excel/2006/main">
          <x14:cfRule type="dataBar" id="{53276F91-A977-4470-A548-7BF1D727C717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AG76:AG78 AG74</xm:sqref>
        </x14:conditionalFormatting>
        <x14:conditionalFormatting xmlns:xm="http://schemas.microsoft.com/office/excel/2006/main">
          <x14:cfRule type="dataBar" id="{25526758-E794-4769-9100-05C1935CC1CE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AG75</xm:sqref>
        </x14:conditionalFormatting>
        <x14:conditionalFormatting xmlns:xm="http://schemas.microsoft.com/office/excel/2006/main">
          <x14:cfRule type="dataBar" id="{08290556-ED4D-446B-9263-D5CDA203D17F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AG93:AG95 AG91</xm:sqref>
        </x14:conditionalFormatting>
        <x14:conditionalFormatting xmlns:xm="http://schemas.microsoft.com/office/excel/2006/main">
          <x14:cfRule type="dataBar" id="{70F9A3BD-BC67-4347-A4BE-39345DC6901A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AG92</xm:sqref>
        </x14:conditionalFormatting>
        <x14:conditionalFormatting xmlns:xm="http://schemas.microsoft.com/office/excel/2006/main">
          <x14:cfRule type="dataBar" id="{5B155163-3B03-4E0E-A1EE-BD2B6B4F3438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AG110:AG112 AG108</xm:sqref>
        </x14:conditionalFormatting>
        <x14:conditionalFormatting xmlns:xm="http://schemas.microsoft.com/office/excel/2006/main">
          <x14:cfRule type="dataBar" id="{8D24DB81-5F2D-4248-9E66-B29DDE33E0BD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AG109</xm:sqref>
        </x14:conditionalFormatting>
        <x14:conditionalFormatting xmlns:xm="http://schemas.microsoft.com/office/excel/2006/main">
          <x14:cfRule type="dataBar" id="{D8BB0C54-0877-4777-8F38-08A0BCC0125F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AG127:AG129 AG125</xm:sqref>
        </x14:conditionalFormatting>
        <x14:conditionalFormatting xmlns:xm="http://schemas.microsoft.com/office/excel/2006/main">
          <x14:cfRule type="dataBar" id="{6D5A05CB-3B45-480F-9457-AEF0AC835461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AG126</xm:sqref>
        </x14:conditionalFormatting>
        <x14:conditionalFormatting xmlns:xm="http://schemas.microsoft.com/office/excel/2006/main">
          <x14:cfRule type="dataBar" id="{EA521087-F983-46A5-8F18-8B32E7D34CC3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AG144:AG146 AG142</xm:sqref>
        </x14:conditionalFormatting>
        <x14:conditionalFormatting xmlns:xm="http://schemas.microsoft.com/office/excel/2006/main">
          <x14:cfRule type="dataBar" id="{E885CCE8-4255-4DEB-885A-F37018FCF8CE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AG143</xm:sqref>
        </x14:conditionalFormatting>
        <x14:conditionalFormatting xmlns:xm="http://schemas.microsoft.com/office/excel/2006/main">
          <x14:cfRule type="dataBar" id="{FD3E6BA1-961D-4388-8ACF-E55A44B5557D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AG161:AG163 AG159</xm:sqref>
        </x14:conditionalFormatting>
        <x14:conditionalFormatting xmlns:xm="http://schemas.microsoft.com/office/excel/2006/main">
          <x14:cfRule type="dataBar" id="{BCA39307-E34C-42F2-AD04-08DBB5B80653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AG160</xm:sqref>
        </x14:conditionalFormatting>
        <x14:conditionalFormatting xmlns:xm="http://schemas.microsoft.com/office/excel/2006/main">
          <x14:cfRule type="dataBar" id="{9B7A2CC4-595A-4266-8D55-854F4D0250B7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AG178:AG180 AG176</xm:sqref>
        </x14:conditionalFormatting>
        <x14:conditionalFormatting xmlns:xm="http://schemas.microsoft.com/office/excel/2006/main">
          <x14:cfRule type="dataBar" id="{D8BEEB9B-975C-4E9D-BC35-53A9A5DC8E3E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AG177</xm:sqref>
        </x14:conditionalFormatting>
        <x14:conditionalFormatting xmlns:xm="http://schemas.microsoft.com/office/excel/2006/main">
          <x14:cfRule type="dataBar" id="{08D245B7-0B9B-444C-B174-85E9160DDF3B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AG195:AG197 AG193</xm:sqref>
        </x14:conditionalFormatting>
        <x14:conditionalFormatting xmlns:xm="http://schemas.microsoft.com/office/excel/2006/main">
          <x14:cfRule type="dataBar" id="{52CAF506-C5D4-47FE-A34C-7B2B6CBFB796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AG194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AQ1399"/>
  <sheetViews>
    <sheetView tabSelected="1" zoomScaleNormal="100" workbookViewId="0">
      <selection sqref="A1:O16"/>
    </sheetView>
  </sheetViews>
  <sheetFormatPr defaultColWidth="22.1796875" defaultRowHeight="15" customHeight="1" x14ac:dyDescent="0.25"/>
  <cols>
    <col min="1" max="1" width="23" style="12" customWidth="1"/>
    <col min="2" max="2" width="11.54296875" style="10" customWidth="1"/>
    <col min="3" max="3" width="12.90625" style="10" customWidth="1"/>
    <col min="4" max="4" width="11.36328125" style="10" customWidth="1"/>
    <col min="5" max="5" width="10.1796875" style="10" customWidth="1"/>
    <col min="6" max="6" width="10.08984375" style="10" customWidth="1"/>
    <col min="7" max="7" width="10.26953125" style="10" customWidth="1"/>
    <col min="8" max="8" width="11.90625" style="10" customWidth="1"/>
    <col min="9" max="9" width="10.08984375" style="10" customWidth="1"/>
    <col min="10" max="10" width="11.90625" style="10" customWidth="1"/>
    <col min="11" max="11" width="9.453125" style="10" customWidth="1"/>
    <col min="12" max="12" width="10.36328125" style="10" customWidth="1"/>
    <col min="13" max="13" width="9.6328125" style="10" customWidth="1"/>
    <col min="14" max="14" width="14.54296875" style="9" customWidth="1"/>
    <col min="15" max="16384" width="22.1796875" style="11"/>
  </cols>
  <sheetData>
    <row r="1" spans="1:43" s="53" customFormat="1" ht="50.25" customHeight="1" x14ac:dyDescent="0.35">
      <c r="A1" s="95" t="s">
        <v>75</v>
      </c>
      <c r="B1" s="95"/>
      <c r="C1" s="95"/>
      <c r="D1" s="95"/>
      <c r="E1" s="95"/>
      <c r="F1" s="95"/>
      <c r="G1" s="95"/>
      <c r="H1" s="95"/>
      <c r="I1" s="95"/>
      <c r="J1" s="95"/>
      <c r="K1" s="51"/>
      <c r="L1" s="51"/>
      <c r="M1" s="51"/>
      <c r="N1" s="52"/>
    </row>
    <row r="2" spans="1:43" s="50" customFormat="1" ht="50.25" customHeight="1" x14ac:dyDescent="0.3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21"/>
    </row>
    <row r="3" spans="1:43" s="4" customFormat="1" ht="39" customHeight="1" x14ac:dyDescent="0.35">
      <c r="A3" s="89" t="s">
        <v>53</v>
      </c>
      <c r="B3" s="90" t="s">
        <v>48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89">
        <v>2025</v>
      </c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" customFormat="1" ht="15.5" customHeight="1" x14ac:dyDescent="0.35">
      <c r="A4" s="90"/>
      <c r="B4" s="59" t="str">
        <f>TEXT(DATE(2025,COLUMN(A1),1),"mmmm")</f>
        <v>January</v>
      </c>
      <c r="C4" s="59" t="str">
        <f t="shared" ref="C4:M4" si="0">TEXT(DATE(2025,COLUMN(B1),1),"mmmm")</f>
        <v>February</v>
      </c>
      <c r="D4" s="59" t="str">
        <f t="shared" si="0"/>
        <v>March</v>
      </c>
      <c r="E4" s="59" t="str">
        <f t="shared" si="0"/>
        <v>April</v>
      </c>
      <c r="F4" s="59" t="str">
        <f t="shared" si="0"/>
        <v>May</v>
      </c>
      <c r="G4" s="59" t="str">
        <f t="shared" si="0"/>
        <v>June</v>
      </c>
      <c r="H4" s="59" t="str">
        <f t="shared" si="0"/>
        <v>July</v>
      </c>
      <c r="I4" s="59" t="str">
        <f t="shared" si="0"/>
        <v>August</v>
      </c>
      <c r="J4" s="59" t="str">
        <f t="shared" si="0"/>
        <v>September</v>
      </c>
      <c r="K4" s="59" t="str">
        <f t="shared" si="0"/>
        <v>October</v>
      </c>
      <c r="L4" s="59" t="str">
        <f t="shared" si="0"/>
        <v>November</v>
      </c>
      <c r="M4" s="60" t="str">
        <f t="shared" si="0"/>
        <v>December</v>
      </c>
      <c r="N4" s="90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</row>
    <row r="5" spans="1:43" s="8" customFormat="1" ht="18.5" hidden="1" x14ac:dyDescent="0.35">
      <c r="A5" s="43" t="s">
        <v>37</v>
      </c>
      <c r="B5" s="27" t="s">
        <v>0</v>
      </c>
      <c r="C5" s="27" t="s">
        <v>1</v>
      </c>
      <c r="D5" s="27" t="s">
        <v>2</v>
      </c>
      <c r="E5" s="27" t="s">
        <v>3</v>
      </c>
      <c r="F5" s="27" t="s">
        <v>4</v>
      </c>
      <c r="G5" s="27" t="s">
        <v>5</v>
      </c>
      <c r="H5" s="27" t="s">
        <v>6</v>
      </c>
      <c r="I5" s="27" t="s">
        <v>7</v>
      </c>
      <c r="J5" s="27" t="s">
        <v>8</v>
      </c>
      <c r="K5" s="27" t="s">
        <v>9</v>
      </c>
      <c r="L5" s="27" t="s">
        <v>10</v>
      </c>
      <c r="M5" s="56" t="s">
        <v>11</v>
      </c>
      <c r="N5" s="38" t="s">
        <v>47</v>
      </c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</row>
    <row r="6" spans="1:43" s="8" customFormat="1" ht="15.5" x14ac:dyDescent="0.35">
      <c r="A6" s="44" t="s">
        <v>80</v>
      </c>
      <c r="B6" s="42" t="s">
        <v>52</v>
      </c>
      <c r="C6" s="42"/>
      <c r="D6" s="42"/>
      <c r="E6" s="42"/>
      <c r="F6" s="42"/>
      <c r="G6" s="42" t="s">
        <v>45</v>
      </c>
      <c r="H6" s="42"/>
      <c r="I6" s="42"/>
      <c r="J6" s="42"/>
      <c r="K6" s="42"/>
      <c r="L6" s="42" t="s">
        <v>52</v>
      </c>
      <c r="M6" s="69" t="s">
        <v>44</v>
      </c>
      <c r="N6" s="68">
        <f t="shared" ref="N6:N8" si="1">COUNTA(B6:M6)</f>
        <v>4</v>
      </c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</row>
    <row r="7" spans="1:43" s="8" customFormat="1" ht="15.5" x14ac:dyDescent="0.35">
      <c r="A7" s="44" t="s">
        <v>81</v>
      </c>
      <c r="B7" s="42"/>
      <c r="C7" s="42" t="s">
        <v>45</v>
      </c>
      <c r="D7" s="42"/>
      <c r="E7" s="42"/>
      <c r="F7" s="42" t="s">
        <v>44</v>
      </c>
      <c r="G7" s="42"/>
      <c r="H7" s="42" t="s">
        <v>52</v>
      </c>
      <c r="I7" s="42"/>
      <c r="J7" s="42"/>
      <c r="K7" s="42" t="s">
        <v>45</v>
      </c>
      <c r="L7" s="42"/>
      <c r="M7" s="70" t="s">
        <v>51</v>
      </c>
      <c r="N7" s="68">
        <f t="shared" si="1"/>
        <v>5</v>
      </c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</row>
    <row r="8" spans="1:43" s="1" customFormat="1" ht="15.5" x14ac:dyDescent="0.35">
      <c r="A8" s="44" t="s">
        <v>82</v>
      </c>
      <c r="B8" s="42"/>
      <c r="C8" s="42"/>
      <c r="D8" s="42" t="s">
        <v>51</v>
      </c>
      <c r="E8" s="42" t="s">
        <v>52</v>
      </c>
      <c r="F8" s="42"/>
      <c r="G8" s="42"/>
      <c r="H8" s="42"/>
      <c r="I8" s="42" t="s">
        <v>44</v>
      </c>
      <c r="J8" s="42" t="s">
        <v>51</v>
      </c>
      <c r="K8" s="42"/>
      <c r="L8" s="42"/>
      <c r="M8" s="71" t="s">
        <v>52</v>
      </c>
      <c r="N8" s="68">
        <f t="shared" si="1"/>
        <v>5</v>
      </c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</row>
    <row r="9" spans="1:43" ht="14.5" x14ac:dyDescent="0.25">
      <c r="A9" s="45" t="s">
        <v>63</v>
      </c>
      <c r="B9" s="46">
        <f>SUBTOTAL(103,Monthly3[1])</f>
        <v>1</v>
      </c>
      <c r="C9" s="46">
        <f>SUBTOTAL(103,Monthly3[2])</f>
        <v>1</v>
      </c>
      <c r="D9" s="46">
        <f>SUBTOTAL(103,Monthly3[3])</f>
        <v>1</v>
      </c>
      <c r="E9" s="46">
        <f>SUBTOTAL(103,Monthly3[4])</f>
        <v>1</v>
      </c>
      <c r="F9" s="46">
        <f>SUBTOTAL(103,Monthly3[5])</f>
        <v>1</v>
      </c>
      <c r="G9" s="46">
        <f>SUBTOTAL(103,Monthly3[6])</f>
        <v>1</v>
      </c>
      <c r="H9" s="46">
        <f>SUBTOTAL(103,Monthly3[7])</f>
        <v>1</v>
      </c>
      <c r="I9" s="46">
        <f>SUBTOTAL(103,Monthly3[8])</f>
        <v>1</v>
      </c>
      <c r="J9" s="46">
        <f>SUBTOTAL(103,Monthly3[9])</f>
        <v>1</v>
      </c>
      <c r="K9" s="46">
        <f>SUBTOTAL(103,Monthly3[10])</f>
        <v>1</v>
      </c>
      <c r="L9" s="46">
        <f>SUBTOTAL(103,Monthly3[11])</f>
        <v>1</v>
      </c>
      <c r="M9" s="46">
        <f>SUBTOTAL(103,Monthly3[12])</f>
        <v>3</v>
      </c>
      <c r="N9" s="68">
        <f>SUM(N6:N8)</f>
        <v>14</v>
      </c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</row>
    <row r="10" spans="1:43" customFormat="1" ht="14.5" x14ac:dyDescent="0.35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67">
        <f>SUBTOTAL(109,Jan[Total Days Traveled])</f>
        <v>0</v>
      </c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</row>
    <row r="11" spans="1:43" customFormat="1" ht="16" customHeight="1" thickBot="1" x14ac:dyDescent="0.4">
      <c r="A11" s="92" t="s">
        <v>31</v>
      </c>
      <c r="B11" s="17" t="s">
        <v>52</v>
      </c>
      <c r="C11" s="93" t="s">
        <v>39</v>
      </c>
      <c r="D11" s="94"/>
      <c r="E11" s="32"/>
      <c r="F11" s="13" t="s">
        <v>51</v>
      </c>
      <c r="G11" s="35" t="s">
        <v>40</v>
      </c>
      <c r="H11" s="35"/>
      <c r="I11" s="32"/>
      <c r="J11" s="14" t="s">
        <v>77</v>
      </c>
      <c r="K11" s="93" t="s">
        <v>78</v>
      </c>
      <c r="L11" s="93"/>
      <c r="M11" s="58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</row>
    <row r="12" spans="1:43" s="54" customFormat="1" thickBot="1" x14ac:dyDescent="0.4">
      <c r="A12" s="92"/>
      <c r="B12" s="16" t="s">
        <v>45</v>
      </c>
      <c r="C12" s="24" t="s">
        <v>46</v>
      </c>
      <c r="D12" s="57"/>
      <c r="E12" s="57"/>
      <c r="F12" s="57"/>
      <c r="G12" s="32"/>
      <c r="H12" s="32"/>
      <c r="I12" s="15" t="s">
        <v>44</v>
      </c>
      <c r="J12" s="93" t="s">
        <v>50</v>
      </c>
      <c r="K12" s="93"/>
      <c r="L12" s="93"/>
      <c r="M12" s="35"/>
      <c r="N12" s="9"/>
    </row>
    <row r="13" spans="1:43" s="54" customFormat="1" ht="14.5" x14ac:dyDescent="0.35"/>
    <row r="14" spans="1:43" s="54" customFormat="1" ht="14.5" x14ac:dyDescent="0.35"/>
    <row r="15" spans="1:43" s="53" customFormat="1" ht="50.25" customHeight="1" x14ac:dyDescent="0.35">
      <c r="A15" s="95" t="s">
        <v>75</v>
      </c>
      <c r="B15" s="95"/>
      <c r="C15" s="95"/>
      <c r="D15" s="95"/>
      <c r="E15" s="95"/>
      <c r="F15" s="95"/>
      <c r="G15" s="95"/>
      <c r="H15" s="95"/>
      <c r="I15" s="95"/>
      <c r="J15" s="95"/>
      <c r="K15" s="51"/>
      <c r="L15" s="51"/>
      <c r="M15" s="51"/>
      <c r="N15" s="52"/>
    </row>
    <row r="16" spans="1:43" s="50" customFormat="1" ht="50.25" customHeight="1" x14ac:dyDescent="0.35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21"/>
    </row>
    <row r="17" spans="1:43" s="4" customFormat="1" ht="39" customHeight="1" x14ac:dyDescent="0.35">
      <c r="A17" s="89" t="s">
        <v>53</v>
      </c>
      <c r="B17" s="90" t="s">
        <v>48</v>
      </c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89">
        <v>2026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</row>
    <row r="18" spans="1:43" s="6" customFormat="1" ht="15.5" customHeight="1" x14ac:dyDescent="0.35">
      <c r="A18" s="90"/>
      <c r="B18" s="59" t="str">
        <f>TEXT(DATE(2025,COLUMN(A15),1),"mmmm")</f>
        <v>January</v>
      </c>
      <c r="C18" s="59" t="str">
        <f t="shared" ref="C18" si="2">TEXT(DATE(2025,COLUMN(B15),1),"mmmm")</f>
        <v>February</v>
      </c>
      <c r="D18" s="59" t="str">
        <f t="shared" ref="D18" si="3">TEXT(DATE(2025,COLUMN(C15),1),"mmmm")</f>
        <v>March</v>
      </c>
      <c r="E18" s="59" t="str">
        <f t="shared" ref="E18" si="4">TEXT(DATE(2025,COLUMN(D15),1),"mmmm")</f>
        <v>April</v>
      </c>
      <c r="F18" s="59" t="str">
        <f t="shared" ref="F18" si="5">TEXT(DATE(2025,COLUMN(E15),1),"mmmm")</f>
        <v>May</v>
      </c>
      <c r="G18" s="59" t="str">
        <f t="shared" ref="G18" si="6">TEXT(DATE(2025,COLUMN(F15),1),"mmmm")</f>
        <v>June</v>
      </c>
      <c r="H18" s="59" t="str">
        <f t="shared" ref="H18" si="7">TEXT(DATE(2025,COLUMN(G15),1),"mmmm")</f>
        <v>July</v>
      </c>
      <c r="I18" s="59" t="str">
        <f t="shared" ref="I18" si="8">TEXT(DATE(2025,COLUMN(H15),1),"mmmm")</f>
        <v>August</v>
      </c>
      <c r="J18" s="59" t="str">
        <f t="shared" ref="J18" si="9">TEXT(DATE(2025,COLUMN(I15),1),"mmmm")</f>
        <v>September</v>
      </c>
      <c r="K18" s="59" t="str">
        <f t="shared" ref="K18" si="10">TEXT(DATE(2025,COLUMN(J15),1),"mmmm")</f>
        <v>October</v>
      </c>
      <c r="L18" s="59" t="str">
        <f t="shared" ref="L18" si="11">TEXT(DATE(2025,COLUMN(K15),1),"mmmm")</f>
        <v>November</v>
      </c>
      <c r="M18" s="60" t="str">
        <f t="shared" ref="M18" si="12">TEXT(DATE(2025,COLUMN(L15),1),"mmmm")</f>
        <v>December</v>
      </c>
      <c r="N18" s="90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</row>
    <row r="19" spans="1:43" s="8" customFormat="1" ht="18.5" hidden="1" x14ac:dyDescent="0.35">
      <c r="A19" s="43" t="s">
        <v>37</v>
      </c>
      <c r="B19" s="27" t="s">
        <v>0</v>
      </c>
      <c r="C19" s="27" t="s">
        <v>1</v>
      </c>
      <c r="D19" s="27" t="s">
        <v>2</v>
      </c>
      <c r="E19" s="27" t="s">
        <v>3</v>
      </c>
      <c r="F19" s="27" t="s">
        <v>4</v>
      </c>
      <c r="G19" s="27" t="s">
        <v>5</v>
      </c>
      <c r="H19" s="27" t="s">
        <v>6</v>
      </c>
      <c r="I19" s="27" t="s">
        <v>7</v>
      </c>
      <c r="J19" s="27" t="s">
        <v>8</v>
      </c>
      <c r="K19" s="27" t="s">
        <v>9</v>
      </c>
      <c r="L19" s="27" t="s">
        <v>10</v>
      </c>
      <c r="M19" s="56" t="s">
        <v>11</v>
      </c>
      <c r="N19" s="38" t="s">
        <v>47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</row>
    <row r="20" spans="1:43" s="8" customFormat="1" ht="15.5" x14ac:dyDescent="0.35">
      <c r="A20" s="44" t="s">
        <v>60</v>
      </c>
      <c r="B20" s="83" t="s">
        <v>76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69"/>
      <c r="N20" s="68">
        <f t="shared" ref="N20:N22" si="13">COUNTA(B20:M20)</f>
        <v>1</v>
      </c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</row>
    <row r="21" spans="1:43" s="8" customFormat="1" ht="15.5" x14ac:dyDescent="0.35">
      <c r="A21" s="44" t="s">
        <v>61</v>
      </c>
      <c r="B21" s="83"/>
      <c r="C21" s="83"/>
      <c r="D21" s="83"/>
      <c r="E21" s="83"/>
      <c r="F21" s="83"/>
      <c r="G21" s="83"/>
      <c r="H21" s="83"/>
      <c r="I21" s="83" t="s">
        <v>79</v>
      </c>
      <c r="J21" s="83" t="s">
        <v>79</v>
      </c>
      <c r="K21" s="83"/>
      <c r="L21" s="83"/>
      <c r="M21" s="70"/>
      <c r="N21" s="68">
        <f t="shared" si="13"/>
        <v>2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</row>
    <row r="22" spans="1:43" s="1" customFormat="1" ht="15.5" x14ac:dyDescent="0.35">
      <c r="A22" s="44" t="s">
        <v>62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71"/>
      <c r="N22" s="68">
        <f t="shared" si="13"/>
        <v>0</v>
      </c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</row>
    <row r="23" spans="1:43" ht="14.5" x14ac:dyDescent="0.25">
      <c r="A23" s="45" t="s">
        <v>63</v>
      </c>
      <c r="B23" s="46">
        <f>SUBTOTAL(103,Monthly315[1])</f>
        <v>1</v>
      </c>
      <c r="C23" s="46">
        <f>SUBTOTAL(103,Monthly315[2])</f>
        <v>0</v>
      </c>
      <c r="D23" s="46">
        <f>SUBTOTAL(103,Monthly315[3])</f>
        <v>0</v>
      </c>
      <c r="E23" s="46">
        <f>SUBTOTAL(103,Monthly315[4])</f>
        <v>0</v>
      </c>
      <c r="F23" s="46">
        <f>SUBTOTAL(103,Monthly315[5])</f>
        <v>0</v>
      </c>
      <c r="G23" s="46">
        <f>SUBTOTAL(103,Monthly315[6])</f>
        <v>0</v>
      </c>
      <c r="H23" s="46">
        <f>SUBTOTAL(103,Monthly315[7])</f>
        <v>0</v>
      </c>
      <c r="I23" s="46">
        <f>SUBTOTAL(103,Monthly315[8])</f>
        <v>1</v>
      </c>
      <c r="J23" s="46">
        <f>SUBTOTAL(103,Monthly315[9])</f>
        <v>1</v>
      </c>
      <c r="K23" s="46">
        <f>SUBTOTAL(103,Monthly315[10])</f>
        <v>0</v>
      </c>
      <c r="L23" s="46">
        <f>SUBTOTAL(103,Monthly315[11])</f>
        <v>0</v>
      </c>
      <c r="M23" s="46">
        <f>SUBTOTAL(103,Monthly315[12])</f>
        <v>0</v>
      </c>
      <c r="N23" s="68">
        <f>SUM(N20:N22)</f>
        <v>3</v>
      </c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</row>
    <row r="24" spans="1:43" customFormat="1" ht="14.5" x14ac:dyDescent="0.35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67">
        <f>SUBTOTAL(109,Jan[Total Days Traveled])</f>
        <v>0</v>
      </c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</row>
    <row r="25" spans="1:43" customFormat="1" ht="16" customHeight="1" thickBot="1" x14ac:dyDescent="0.4">
      <c r="A25" s="92" t="s">
        <v>31</v>
      </c>
      <c r="B25" s="17" t="s">
        <v>52</v>
      </c>
      <c r="C25" s="93" t="s">
        <v>39</v>
      </c>
      <c r="D25" s="94"/>
      <c r="E25" s="32"/>
      <c r="F25" s="13" t="s">
        <v>51</v>
      </c>
      <c r="G25" s="84" t="s">
        <v>40</v>
      </c>
      <c r="H25" s="84"/>
      <c r="I25" s="32"/>
      <c r="J25" s="14" t="s">
        <v>77</v>
      </c>
      <c r="K25" s="84" t="s">
        <v>78</v>
      </c>
      <c r="L25" s="84"/>
      <c r="M25" s="58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</row>
    <row r="26" spans="1:43" s="54" customFormat="1" thickBot="1" x14ac:dyDescent="0.4">
      <c r="A26" s="92"/>
      <c r="B26" s="16" t="s">
        <v>45</v>
      </c>
      <c r="C26" s="24" t="s">
        <v>46</v>
      </c>
      <c r="D26" s="57"/>
      <c r="E26" s="57"/>
      <c r="F26" s="57"/>
      <c r="G26" s="32"/>
      <c r="H26" s="32"/>
      <c r="I26" s="15" t="s">
        <v>44</v>
      </c>
      <c r="J26" s="93" t="s">
        <v>50</v>
      </c>
      <c r="K26" s="93"/>
      <c r="L26" s="93"/>
      <c r="M26" s="84"/>
      <c r="N26" s="9"/>
    </row>
    <row r="27" spans="1:43" s="54" customFormat="1" ht="15" customHeight="1" x14ac:dyDescent="0.35"/>
    <row r="28" spans="1:43" s="54" customFormat="1" ht="15" customHeight="1" x14ac:dyDescent="0.35"/>
    <row r="29" spans="1:43" s="54" customFormat="1" ht="15" customHeight="1" x14ac:dyDescent="0.35"/>
    <row r="30" spans="1:43" s="54" customFormat="1" ht="15" customHeight="1" x14ac:dyDescent="0.35"/>
    <row r="31" spans="1:43" s="54" customFormat="1" ht="15" customHeight="1" x14ac:dyDescent="0.35"/>
    <row r="32" spans="1:43" s="54" customFormat="1" ht="15" customHeight="1" x14ac:dyDescent="0.35"/>
    <row r="33" s="54" customFormat="1" ht="15" customHeight="1" x14ac:dyDescent="0.35"/>
    <row r="34" s="54" customFormat="1" ht="15" customHeight="1" x14ac:dyDescent="0.35"/>
    <row r="35" s="54" customFormat="1" ht="15" customHeight="1" x14ac:dyDescent="0.35"/>
    <row r="36" s="54" customFormat="1" ht="15" customHeight="1" x14ac:dyDescent="0.35"/>
    <row r="37" s="54" customFormat="1" ht="15" customHeight="1" x14ac:dyDescent="0.35"/>
    <row r="38" s="54" customFormat="1" ht="15" customHeight="1" x14ac:dyDescent="0.35"/>
    <row r="39" s="54" customFormat="1" ht="15" customHeight="1" x14ac:dyDescent="0.35"/>
    <row r="40" s="54" customFormat="1" ht="15" customHeight="1" x14ac:dyDescent="0.35"/>
    <row r="41" s="54" customFormat="1" ht="15" customHeight="1" x14ac:dyDescent="0.35"/>
    <row r="42" s="54" customFormat="1" ht="15" customHeight="1" x14ac:dyDescent="0.35"/>
    <row r="43" s="54" customFormat="1" ht="15" customHeight="1" x14ac:dyDescent="0.35"/>
    <row r="44" s="54" customFormat="1" ht="15" customHeight="1" x14ac:dyDescent="0.35"/>
    <row r="45" s="54" customFormat="1" ht="15" customHeight="1" x14ac:dyDescent="0.35"/>
    <row r="46" s="54" customFormat="1" ht="15" customHeight="1" x14ac:dyDescent="0.35"/>
    <row r="47" s="54" customFormat="1" ht="15" customHeight="1" x14ac:dyDescent="0.35"/>
    <row r="48" s="54" customFormat="1" ht="15" customHeight="1" x14ac:dyDescent="0.35"/>
    <row r="49" s="54" customFormat="1" ht="15" customHeight="1" x14ac:dyDescent="0.35"/>
    <row r="50" s="54" customFormat="1" ht="15" customHeight="1" x14ac:dyDescent="0.35"/>
    <row r="51" s="54" customFormat="1" ht="15" customHeight="1" x14ac:dyDescent="0.35"/>
    <row r="52" s="54" customFormat="1" ht="15" customHeight="1" x14ac:dyDescent="0.35"/>
    <row r="53" s="54" customFormat="1" ht="15" customHeight="1" x14ac:dyDescent="0.35"/>
    <row r="54" s="54" customFormat="1" ht="15" customHeight="1" x14ac:dyDescent="0.35"/>
    <row r="55" s="54" customFormat="1" ht="15" customHeight="1" x14ac:dyDescent="0.35"/>
    <row r="56" s="54" customFormat="1" ht="15" customHeight="1" x14ac:dyDescent="0.35"/>
    <row r="57" s="54" customFormat="1" ht="15" customHeight="1" x14ac:dyDescent="0.35"/>
    <row r="58" s="54" customFormat="1" ht="15" customHeight="1" x14ac:dyDescent="0.35"/>
    <row r="59" s="54" customFormat="1" ht="15" customHeight="1" x14ac:dyDescent="0.35"/>
    <row r="60" s="54" customFormat="1" ht="15" customHeight="1" x14ac:dyDescent="0.35"/>
    <row r="61" s="54" customFormat="1" ht="15" customHeight="1" x14ac:dyDescent="0.35"/>
    <row r="62" s="54" customFormat="1" ht="15" customHeight="1" x14ac:dyDescent="0.35"/>
    <row r="63" s="54" customFormat="1" ht="15" customHeight="1" x14ac:dyDescent="0.35"/>
    <row r="64" s="54" customFormat="1" ht="15" customHeight="1" x14ac:dyDescent="0.35"/>
    <row r="65" s="54" customFormat="1" ht="15" customHeight="1" x14ac:dyDescent="0.35"/>
    <row r="66" s="54" customFormat="1" ht="15" customHeight="1" x14ac:dyDescent="0.35"/>
    <row r="67" s="54" customFormat="1" ht="15" customHeight="1" x14ac:dyDescent="0.35"/>
    <row r="68" s="54" customFormat="1" ht="15" customHeight="1" x14ac:dyDescent="0.35"/>
    <row r="69" s="54" customFormat="1" ht="15" customHeight="1" x14ac:dyDescent="0.35"/>
    <row r="70" s="54" customFormat="1" ht="15" customHeight="1" x14ac:dyDescent="0.35"/>
    <row r="71" s="54" customFormat="1" ht="15" customHeight="1" x14ac:dyDescent="0.35"/>
    <row r="72" s="54" customFormat="1" ht="15" customHeight="1" x14ac:dyDescent="0.35"/>
    <row r="73" s="54" customFormat="1" ht="15" customHeight="1" x14ac:dyDescent="0.35"/>
    <row r="74" s="54" customFormat="1" ht="15" customHeight="1" x14ac:dyDescent="0.35"/>
    <row r="75" s="54" customFormat="1" ht="15" customHeight="1" x14ac:dyDescent="0.35"/>
    <row r="76" s="54" customFormat="1" ht="15" customHeight="1" x14ac:dyDescent="0.35"/>
    <row r="77" s="54" customFormat="1" ht="15" customHeight="1" x14ac:dyDescent="0.35"/>
    <row r="78" s="54" customFormat="1" ht="15" customHeight="1" x14ac:dyDescent="0.35"/>
    <row r="79" s="54" customFormat="1" ht="15" customHeight="1" x14ac:dyDescent="0.35"/>
    <row r="80" s="54" customFormat="1" ht="15" customHeight="1" x14ac:dyDescent="0.35"/>
    <row r="81" s="54" customFormat="1" ht="15" customHeight="1" x14ac:dyDescent="0.35"/>
    <row r="82" s="54" customFormat="1" ht="15" customHeight="1" x14ac:dyDescent="0.35"/>
    <row r="83" s="54" customFormat="1" ht="15" customHeight="1" x14ac:dyDescent="0.35"/>
    <row r="84" s="54" customFormat="1" ht="15" customHeight="1" x14ac:dyDescent="0.35"/>
    <row r="85" s="54" customFormat="1" ht="15" customHeight="1" x14ac:dyDescent="0.35"/>
    <row r="86" s="54" customFormat="1" ht="15" customHeight="1" x14ac:dyDescent="0.35"/>
    <row r="87" s="54" customFormat="1" ht="15" customHeight="1" x14ac:dyDescent="0.35"/>
    <row r="88" s="54" customFormat="1" ht="15" customHeight="1" x14ac:dyDescent="0.35"/>
    <row r="89" s="54" customFormat="1" ht="15" customHeight="1" x14ac:dyDescent="0.35"/>
    <row r="90" s="54" customFormat="1" ht="15" customHeight="1" x14ac:dyDescent="0.35"/>
    <row r="91" s="54" customFormat="1" ht="15" customHeight="1" x14ac:dyDescent="0.35"/>
    <row r="92" s="54" customFormat="1" ht="15" customHeight="1" x14ac:dyDescent="0.35"/>
    <row r="93" s="54" customFormat="1" ht="15" customHeight="1" x14ac:dyDescent="0.35"/>
    <row r="94" s="54" customFormat="1" ht="15" customHeight="1" x14ac:dyDescent="0.35"/>
    <row r="95" s="54" customFormat="1" ht="15" customHeight="1" x14ac:dyDescent="0.35"/>
    <row r="96" s="54" customFormat="1" ht="15" customHeight="1" x14ac:dyDescent="0.35"/>
    <row r="97" s="54" customFormat="1" ht="15" customHeight="1" x14ac:dyDescent="0.35"/>
    <row r="98" s="54" customFormat="1" ht="15" customHeight="1" x14ac:dyDescent="0.35"/>
    <row r="99" s="54" customFormat="1" ht="15" customHeight="1" x14ac:dyDescent="0.35"/>
    <row r="100" s="54" customFormat="1" ht="15" customHeight="1" x14ac:dyDescent="0.35"/>
    <row r="101" s="54" customFormat="1" ht="15" customHeight="1" x14ac:dyDescent="0.35"/>
    <row r="102" s="54" customFormat="1" ht="15" customHeight="1" x14ac:dyDescent="0.35"/>
    <row r="103" s="54" customFormat="1" ht="15" customHeight="1" x14ac:dyDescent="0.35"/>
    <row r="104" s="54" customFormat="1" ht="15" customHeight="1" x14ac:dyDescent="0.35"/>
    <row r="105" s="54" customFormat="1" ht="15" customHeight="1" x14ac:dyDescent="0.35"/>
    <row r="106" s="54" customFormat="1" ht="15" customHeight="1" x14ac:dyDescent="0.35"/>
    <row r="107" s="54" customFormat="1" ht="15" customHeight="1" x14ac:dyDescent="0.35"/>
    <row r="108" s="54" customFormat="1" ht="15" customHeight="1" x14ac:dyDescent="0.35"/>
    <row r="109" s="54" customFormat="1" ht="15" customHeight="1" x14ac:dyDescent="0.35"/>
    <row r="110" s="54" customFormat="1" ht="15" customHeight="1" x14ac:dyDescent="0.35"/>
    <row r="111" s="54" customFormat="1" ht="15" customHeight="1" x14ac:dyDescent="0.35"/>
    <row r="112" s="54" customFormat="1" ht="15" customHeight="1" x14ac:dyDescent="0.35"/>
    <row r="113" s="54" customFormat="1" ht="15" customHeight="1" x14ac:dyDescent="0.35"/>
    <row r="114" s="54" customFormat="1" ht="15" customHeight="1" x14ac:dyDescent="0.35"/>
    <row r="115" s="54" customFormat="1" ht="15" customHeight="1" x14ac:dyDescent="0.35"/>
    <row r="116" s="54" customFormat="1" ht="15" customHeight="1" x14ac:dyDescent="0.35"/>
    <row r="117" s="54" customFormat="1" ht="15" customHeight="1" x14ac:dyDescent="0.35"/>
    <row r="118" s="54" customFormat="1" ht="15" customHeight="1" x14ac:dyDescent="0.35"/>
    <row r="119" s="54" customFormat="1" ht="15" customHeight="1" x14ac:dyDescent="0.35"/>
    <row r="120" s="54" customFormat="1" ht="15" customHeight="1" x14ac:dyDescent="0.35"/>
    <row r="121" s="54" customFormat="1" ht="15" customHeight="1" x14ac:dyDescent="0.35"/>
    <row r="122" s="54" customFormat="1" ht="15" customHeight="1" x14ac:dyDescent="0.35"/>
    <row r="123" s="54" customFormat="1" ht="15" customHeight="1" x14ac:dyDescent="0.35"/>
    <row r="124" s="54" customFormat="1" ht="15" customHeight="1" x14ac:dyDescent="0.35"/>
    <row r="125" s="54" customFormat="1" ht="15" customHeight="1" x14ac:dyDescent="0.35"/>
    <row r="126" s="54" customFormat="1" ht="15" customHeight="1" x14ac:dyDescent="0.35"/>
    <row r="127" s="54" customFormat="1" ht="15" customHeight="1" x14ac:dyDescent="0.35"/>
    <row r="128" s="54" customFormat="1" ht="15" customHeight="1" x14ac:dyDescent="0.35"/>
    <row r="129" s="54" customFormat="1" ht="15" customHeight="1" x14ac:dyDescent="0.35"/>
    <row r="130" s="54" customFormat="1" ht="15" customHeight="1" x14ac:dyDescent="0.35"/>
    <row r="131" s="54" customFormat="1" ht="15" customHeight="1" x14ac:dyDescent="0.35"/>
    <row r="132" s="54" customFormat="1" ht="15" customHeight="1" x14ac:dyDescent="0.35"/>
    <row r="133" s="54" customFormat="1" ht="15" customHeight="1" x14ac:dyDescent="0.35"/>
    <row r="134" s="54" customFormat="1" ht="15" customHeight="1" x14ac:dyDescent="0.35"/>
    <row r="135" s="54" customFormat="1" ht="15" customHeight="1" x14ac:dyDescent="0.35"/>
    <row r="136" s="54" customFormat="1" ht="15" customHeight="1" x14ac:dyDescent="0.35"/>
    <row r="137" s="54" customFormat="1" ht="15" customHeight="1" x14ac:dyDescent="0.35"/>
    <row r="138" s="54" customFormat="1" ht="15" customHeight="1" x14ac:dyDescent="0.35"/>
    <row r="139" s="54" customFormat="1" ht="15" customHeight="1" x14ac:dyDescent="0.35"/>
    <row r="140" s="54" customFormat="1" ht="15" customHeight="1" x14ac:dyDescent="0.35"/>
    <row r="141" s="54" customFormat="1" ht="15" customHeight="1" x14ac:dyDescent="0.35"/>
    <row r="142" s="54" customFormat="1" ht="15" customHeight="1" x14ac:dyDescent="0.35"/>
    <row r="143" s="54" customFormat="1" ht="15" customHeight="1" x14ac:dyDescent="0.35"/>
    <row r="144" s="54" customFormat="1" ht="15" customHeight="1" x14ac:dyDescent="0.35"/>
    <row r="145" s="54" customFormat="1" ht="15" customHeight="1" x14ac:dyDescent="0.35"/>
    <row r="146" s="54" customFormat="1" ht="15" customHeight="1" x14ac:dyDescent="0.35"/>
    <row r="147" s="54" customFormat="1" ht="15" customHeight="1" x14ac:dyDescent="0.35"/>
    <row r="148" s="54" customFormat="1" ht="15" customHeight="1" x14ac:dyDescent="0.35"/>
    <row r="149" s="54" customFormat="1" ht="15" customHeight="1" x14ac:dyDescent="0.35"/>
    <row r="150" s="54" customFormat="1" ht="15" customHeight="1" x14ac:dyDescent="0.35"/>
    <row r="151" s="54" customFormat="1" ht="15" customHeight="1" x14ac:dyDescent="0.35"/>
    <row r="152" s="54" customFormat="1" ht="15" customHeight="1" x14ac:dyDescent="0.35"/>
    <row r="153" s="54" customFormat="1" ht="15" customHeight="1" x14ac:dyDescent="0.35"/>
    <row r="154" s="54" customFormat="1" ht="15" customHeight="1" x14ac:dyDescent="0.35"/>
    <row r="155" s="54" customFormat="1" ht="15" customHeight="1" x14ac:dyDescent="0.35"/>
    <row r="156" s="54" customFormat="1" ht="15" customHeight="1" x14ac:dyDescent="0.35"/>
    <row r="157" s="54" customFormat="1" ht="15" customHeight="1" x14ac:dyDescent="0.35"/>
    <row r="158" s="54" customFormat="1" ht="15" customHeight="1" x14ac:dyDescent="0.35"/>
    <row r="159" s="54" customFormat="1" ht="15" customHeight="1" x14ac:dyDescent="0.35"/>
    <row r="160" s="54" customFormat="1" ht="15" customHeight="1" x14ac:dyDescent="0.35"/>
    <row r="161" s="54" customFormat="1" ht="15" customHeight="1" x14ac:dyDescent="0.35"/>
    <row r="162" s="54" customFormat="1" ht="15" customHeight="1" x14ac:dyDescent="0.35"/>
    <row r="163" s="54" customFormat="1" ht="15" customHeight="1" x14ac:dyDescent="0.35"/>
    <row r="164" s="54" customFormat="1" ht="15" customHeight="1" x14ac:dyDescent="0.35"/>
    <row r="165" s="54" customFormat="1" ht="15" customHeight="1" x14ac:dyDescent="0.35"/>
    <row r="166" s="54" customFormat="1" ht="15" customHeight="1" x14ac:dyDescent="0.35"/>
    <row r="167" s="54" customFormat="1" ht="15" customHeight="1" x14ac:dyDescent="0.35"/>
    <row r="168" s="54" customFormat="1" ht="15" customHeight="1" x14ac:dyDescent="0.35"/>
    <row r="169" s="54" customFormat="1" ht="15" customHeight="1" x14ac:dyDescent="0.35"/>
    <row r="170" s="54" customFormat="1" ht="15" customHeight="1" x14ac:dyDescent="0.35"/>
    <row r="171" s="54" customFormat="1" ht="15" customHeight="1" x14ac:dyDescent="0.35"/>
    <row r="172" s="54" customFormat="1" ht="15" customHeight="1" x14ac:dyDescent="0.35"/>
    <row r="173" s="54" customFormat="1" ht="15" customHeight="1" x14ac:dyDescent="0.35"/>
    <row r="174" s="54" customFormat="1" ht="15" customHeight="1" x14ac:dyDescent="0.35"/>
    <row r="175" s="54" customFormat="1" ht="15" customHeight="1" x14ac:dyDescent="0.35"/>
    <row r="176" s="54" customFormat="1" ht="15" customHeight="1" x14ac:dyDescent="0.35"/>
    <row r="177" s="54" customFormat="1" ht="15" customHeight="1" x14ac:dyDescent="0.35"/>
    <row r="178" s="54" customFormat="1" ht="15" customHeight="1" x14ac:dyDescent="0.35"/>
    <row r="179" s="54" customFormat="1" ht="15" customHeight="1" x14ac:dyDescent="0.35"/>
    <row r="180" s="54" customFormat="1" ht="15" customHeight="1" x14ac:dyDescent="0.35"/>
    <row r="181" s="54" customFormat="1" ht="15" customHeight="1" x14ac:dyDescent="0.35"/>
    <row r="182" s="54" customFormat="1" ht="15" customHeight="1" x14ac:dyDescent="0.35"/>
    <row r="183" s="54" customFormat="1" ht="15" customHeight="1" x14ac:dyDescent="0.35"/>
    <row r="184" s="54" customFormat="1" ht="15" customHeight="1" x14ac:dyDescent="0.35"/>
    <row r="185" s="54" customFormat="1" ht="15" customHeight="1" x14ac:dyDescent="0.35"/>
    <row r="186" s="54" customFormat="1" ht="15" customHeight="1" x14ac:dyDescent="0.35"/>
    <row r="187" s="54" customFormat="1" ht="15" customHeight="1" x14ac:dyDescent="0.35"/>
    <row r="188" s="54" customFormat="1" ht="15" customHeight="1" x14ac:dyDescent="0.35"/>
    <row r="189" s="54" customFormat="1" ht="15" customHeight="1" x14ac:dyDescent="0.35"/>
    <row r="190" s="54" customFormat="1" ht="15" customHeight="1" x14ac:dyDescent="0.35"/>
    <row r="191" s="54" customFormat="1" ht="15" customHeight="1" x14ac:dyDescent="0.35"/>
    <row r="192" s="54" customFormat="1" ht="15" customHeight="1" x14ac:dyDescent="0.35"/>
    <row r="193" s="54" customFormat="1" ht="15" customHeight="1" x14ac:dyDescent="0.35"/>
    <row r="194" s="54" customFormat="1" ht="15" customHeight="1" x14ac:dyDescent="0.35"/>
    <row r="195" s="54" customFormat="1" ht="15" customHeight="1" x14ac:dyDescent="0.35"/>
    <row r="196" s="54" customFormat="1" ht="15" customHeight="1" x14ac:dyDescent="0.35"/>
    <row r="197" s="54" customFormat="1" ht="15" customHeight="1" x14ac:dyDescent="0.35"/>
    <row r="198" s="54" customFormat="1" ht="15" customHeight="1" x14ac:dyDescent="0.35"/>
    <row r="199" s="54" customFormat="1" ht="15" customHeight="1" x14ac:dyDescent="0.35"/>
    <row r="200" s="54" customFormat="1" ht="15" customHeight="1" x14ac:dyDescent="0.35"/>
    <row r="201" s="54" customFormat="1" ht="15" customHeight="1" x14ac:dyDescent="0.35"/>
    <row r="202" s="54" customFormat="1" ht="15" customHeight="1" x14ac:dyDescent="0.35"/>
    <row r="203" s="54" customFormat="1" ht="15" customHeight="1" x14ac:dyDescent="0.35"/>
    <row r="204" s="54" customFormat="1" ht="15" customHeight="1" x14ac:dyDescent="0.35"/>
    <row r="205" s="54" customFormat="1" ht="15" customHeight="1" x14ac:dyDescent="0.35"/>
    <row r="206" s="54" customFormat="1" ht="15" customHeight="1" x14ac:dyDescent="0.35"/>
    <row r="207" s="54" customFormat="1" ht="15" customHeight="1" x14ac:dyDescent="0.35"/>
    <row r="208" s="54" customFormat="1" ht="15" customHeight="1" x14ac:dyDescent="0.35"/>
    <row r="209" s="54" customFormat="1" ht="15" customHeight="1" x14ac:dyDescent="0.35"/>
    <row r="210" s="54" customFormat="1" ht="15" customHeight="1" x14ac:dyDescent="0.35"/>
    <row r="211" s="54" customFormat="1" ht="15" customHeight="1" x14ac:dyDescent="0.35"/>
    <row r="212" s="54" customFormat="1" ht="15" customHeight="1" x14ac:dyDescent="0.35"/>
    <row r="213" s="54" customFormat="1" ht="15" customHeight="1" x14ac:dyDescent="0.35"/>
    <row r="214" s="54" customFormat="1" ht="15" customHeight="1" x14ac:dyDescent="0.35"/>
    <row r="215" s="54" customFormat="1" ht="15" customHeight="1" x14ac:dyDescent="0.35"/>
    <row r="216" s="54" customFormat="1" ht="15" customHeight="1" x14ac:dyDescent="0.35"/>
    <row r="217" s="54" customFormat="1" ht="15" customHeight="1" x14ac:dyDescent="0.35"/>
    <row r="218" s="54" customFormat="1" ht="15" customHeight="1" x14ac:dyDescent="0.35"/>
    <row r="219" s="54" customFormat="1" ht="15" customHeight="1" x14ac:dyDescent="0.35"/>
    <row r="220" s="54" customFormat="1" ht="15" customHeight="1" x14ac:dyDescent="0.35"/>
    <row r="221" s="54" customFormat="1" ht="15" customHeight="1" x14ac:dyDescent="0.35"/>
    <row r="222" s="54" customFormat="1" ht="15" customHeight="1" x14ac:dyDescent="0.35"/>
    <row r="223" s="54" customFormat="1" ht="15" customHeight="1" x14ac:dyDescent="0.35"/>
    <row r="224" s="54" customFormat="1" ht="15" customHeight="1" x14ac:dyDescent="0.35"/>
    <row r="225" s="54" customFormat="1" ht="15" customHeight="1" x14ac:dyDescent="0.35"/>
    <row r="226" s="54" customFormat="1" ht="15" customHeight="1" x14ac:dyDescent="0.35"/>
    <row r="227" s="54" customFormat="1" ht="15" customHeight="1" x14ac:dyDescent="0.35"/>
    <row r="228" s="54" customFormat="1" ht="15" customHeight="1" x14ac:dyDescent="0.35"/>
    <row r="229" s="54" customFormat="1" ht="15" customHeight="1" x14ac:dyDescent="0.35"/>
    <row r="230" s="54" customFormat="1" ht="15" customHeight="1" x14ac:dyDescent="0.35"/>
    <row r="231" s="54" customFormat="1" ht="15" customHeight="1" x14ac:dyDescent="0.35"/>
    <row r="232" s="54" customFormat="1" ht="15" customHeight="1" x14ac:dyDescent="0.35"/>
    <row r="233" s="54" customFormat="1" ht="15" customHeight="1" x14ac:dyDescent="0.35"/>
    <row r="234" s="54" customFormat="1" ht="15" customHeight="1" x14ac:dyDescent="0.35"/>
    <row r="235" s="54" customFormat="1" ht="15" customHeight="1" x14ac:dyDescent="0.35"/>
    <row r="236" s="54" customFormat="1" ht="15" customHeight="1" x14ac:dyDescent="0.35"/>
    <row r="237" s="54" customFormat="1" ht="15" customHeight="1" x14ac:dyDescent="0.35"/>
    <row r="238" s="54" customFormat="1" ht="15" customHeight="1" x14ac:dyDescent="0.35"/>
    <row r="239" s="54" customFormat="1" ht="15" customHeight="1" x14ac:dyDescent="0.35"/>
    <row r="240" s="54" customFormat="1" ht="15" customHeight="1" x14ac:dyDescent="0.35"/>
    <row r="241" s="54" customFormat="1" ht="15" customHeight="1" x14ac:dyDescent="0.35"/>
    <row r="242" s="54" customFormat="1" ht="15" customHeight="1" x14ac:dyDescent="0.35"/>
    <row r="243" s="54" customFormat="1" ht="15" customHeight="1" x14ac:dyDescent="0.35"/>
    <row r="244" s="54" customFormat="1" ht="15" customHeight="1" x14ac:dyDescent="0.35"/>
    <row r="245" s="54" customFormat="1" ht="15" customHeight="1" x14ac:dyDescent="0.35"/>
    <row r="246" s="54" customFormat="1" ht="15" customHeight="1" x14ac:dyDescent="0.35"/>
    <row r="247" s="54" customFormat="1" ht="15" customHeight="1" x14ac:dyDescent="0.35"/>
    <row r="248" s="54" customFormat="1" ht="15" customHeight="1" x14ac:dyDescent="0.35"/>
    <row r="249" s="54" customFormat="1" ht="15" customHeight="1" x14ac:dyDescent="0.35"/>
    <row r="250" s="54" customFormat="1" ht="15" customHeight="1" x14ac:dyDescent="0.35"/>
    <row r="251" s="54" customFormat="1" ht="15" customHeight="1" x14ac:dyDescent="0.35"/>
    <row r="252" s="54" customFormat="1" ht="15" customHeight="1" x14ac:dyDescent="0.35"/>
    <row r="253" s="54" customFormat="1" ht="15" customHeight="1" x14ac:dyDescent="0.35"/>
    <row r="254" s="54" customFormat="1" ht="15" customHeight="1" x14ac:dyDescent="0.35"/>
    <row r="255" s="54" customFormat="1" ht="15" customHeight="1" x14ac:dyDescent="0.35"/>
    <row r="256" s="54" customFormat="1" ht="15" customHeight="1" x14ac:dyDescent="0.35"/>
    <row r="257" s="54" customFormat="1" ht="15" customHeight="1" x14ac:dyDescent="0.35"/>
    <row r="258" s="54" customFormat="1" ht="15" customHeight="1" x14ac:dyDescent="0.35"/>
    <row r="259" s="54" customFormat="1" ht="15" customHeight="1" x14ac:dyDescent="0.35"/>
    <row r="260" s="54" customFormat="1" ht="15" customHeight="1" x14ac:dyDescent="0.35"/>
    <row r="261" s="54" customFormat="1" ht="15" customHeight="1" x14ac:dyDescent="0.35"/>
    <row r="262" s="54" customFormat="1" ht="15" customHeight="1" x14ac:dyDescent="0.35"/>
    <row r="263" s="54" customFormat="1" ht="15" customHeight="1" x14ac:dyDescent="0.35"/>
    <row r="264" s="54" customFormat="1" ht="15" customHeight="1" x14ac:dyDescent="0.35"/>
    <row r="265" s="54" customFormat="1" ht="15" customHeight="1" x14ac:dyDescent="0.35"/>
    <row r="266" s="54" customFormat="1" ht="15" customHeight="1" x14ac:dyDescent="0.35"/>
    <row r="267" s="54" customFormat="1" ht="15" customHeight="1" x14ac:dyDescent="0.35"/>
    <row r="268" s="54" customFormat="1" ht="15" customHeight="1" x14ac:dyDescent="0.35"/>
    <row r="269" s="54" customFormat="1" ht="15" customHeight="1" x14ac:dyDescent="0.35"/>
    <row r="270" s="54" customFormat="1" ht="15" customHeight="1" x14ac:dyDescent="0.35"/>
    <row r="271" s="54" customFormat="1" ht="15" customHeight="1" x14ac:dyDescent="0.35"/>
    <row r="272" s="54" customFormat="1" ht="15" customHeight="1" x14ac:dyDescent="0.35"/>
    <row r="273" s="54" customFormat="1" ht="15" customHeight="1" x14ac:dyDescent="0.35"/>
    <row r="274" s="54" customFormat="1" ht="15" customHeight="1" x14ac:dyDescent="0.35"/>
    <row r="275" s="54" customFormat="1" ht="15" customHeight="1" x14ac:dyDescent="0.35"/>
    <row r="276" s="54" customFormat="1" ht="15" customHeight="1" x14ac:dyDescent="0.35"/>
    <row r="277" s="54" customFormat="1" ht="15" customHeight="1" x14ac:dyDescent="0.35"/>
    <row r="278" s="54" customFormat="1" ht="15" customHeight="1" x14ac:dyDescent="0.35"/>
    <row r="279" s="54" customFormat="1" ht="15" customHeight="1" x14ac:dyDescent="0.35"/>
    <row r="280" s="54" customFormat="1" ht="15" customHeight="1" x14ac:dyDescent="0.35"/>
    <row r="281" s="54" customFormat="1" ht="15" customHeight="1" x14ac:dyDescent="0.35"/>
    <row r="282" s="54" customFormat="1" ht="15" customHeight="1" x14ac:dyDescent="0.35"/>
    <row r="283" s="54" customFormat="1" ht="15" customHeight="1" x14ac:dyDescent="0.35"/>
    <row r="284" s="54" customFormat="1" ht="15" customHeight="1" x14ac:dyDescent="0.35"/>
    <row r="285" s="54" customFormat="1" ht="15" customHeight="1" x14ac:dyDescent="0.35"/>
    <row r="286" s="54" customFormat="1" ht="15" customHeight="1" x14ac:dyDescent="0.35"/>
    <row r="287" s="54" customFormat="1" ht="15" customHeight="1" x14ac:dyDescent="0.35"/>
    <row r="288" s="54" customFormat="1" ht="15" customHeight="1" x14ac:dyDescent="0.35"/>
    <row r="289" s="54" customFormat="1" ht="15" customHeight="1" x14ac:dyDescent="0.35"/>
    <row r="290" s="54" customFormat="1" ht="15" customHeight="1" x14ac:dyDescent="0.35"/>
    <row r="291" s="54" customFormat="1" ht="15" customHeight="1" x14ac:dyDescent="0.35"/>
    <row r="292" s="54" customFormat="1" ht="15" customHeight="1" x14ac:dyDescent="0.35"/>
    <row r="293" s="54" customFormat="1" ht="15" customHeight="1" x14ac:dyDescent="0.35"/>
    <row r="294" s="54" customFormat="1" ht="15" customHeight="1" x14ac:dyDescent="0.35"/>
    <row r="295" s="54" customFormat="1" ht="15" customHeight="1" x14ac:dyDescent="0.35"/>
    <row r="296" s="54" customFormat="1" ht="15" customHeight="1" x14ac:dyDescent="0.35"/>
    <row r="297" s="54" customFormat="1" ht="15" customHeight="1" x14ac:dyDescent="0.35"/>
    <row r="298" s="54" customFormat="1" ht="15" customHeight="1" x14ac:dyDescent="0.35"/>
    <row r="299" s="54" customFormat="1" ht="15" customHeight="1" x14ac:dyDescent="0.35"/>
    <row r="300" s="54" customFormat="1" ht="15" customHeight="1" x14ac:dyDescent="0.35"/>
    <row r="301" s="54" customFormat="1" ht="15" customHeight="1" x14ac:dyDescent="0.35"/>
    <row r="302" s="54" customFormat="1" ht="15" customHeight="1" x14ac:dyDescent="0.35"/>
    <row r="303" s="54" customFormat="1" ht="15" customHeight="1" x14ac:dyDescent="0.35"/>
    <row r="304" s="54" customFormat="1" ht="15" customHeight="1" x14ac:dyDescent="0.35"/>
    <row r="305" s="54" customFormat="1" ht="15" customHeight="1" x14ac:dyDescent="0.35"/>
    <row r="306" s="54" customFormat="1" ht="15" customHeight="1" x14ac:dyDescent="0.35"/>
    <row r="307" s="54" customFormat="1" ht="15" customHeight="1" x14ac:dyDescent="0.35"/>
    <row r="308" s="54" customFormat="1" ht="15" customHeight="1" x14ac:dyDescent="0.35"/>
    <row r="309" s="54" customFormat="1" ht="15" customHeight="1" x14ac:dyDescent="0.35"/>
    <row r="310" s="54" customFormat="1" ht="15" customHeight="1" x14ac:dyDescent="0.35"/>
    <row r="311" s="54" customFormat="1" ht="15" customHeight="1" x14ac:dyDescent="0.35"/>
    <row r="312" s="54" customFormat="1" ht="15" customHeight="1" x14ac:dyDescent="0.35"/>
    <row r="313" s="54" customFormat="1" ht="15" customHeight="1" x14ac:dyDescent="0.35"/>
    <row r="314" s="54" customFormat="1" ht="15" customHeight="1" x14ac:dyDescent="0.35"/>
    <row r="315" s="54" customFormat="1" ht="15" customHeight="1" x14ac:dyDescent="0.35"/>
    <row r="316" s="54" customFormat="1" ht="15" customHeight="1" x14ac:dyDescent="0.35"/>
    <row r="317" s="54" customFormat="1" ht="15" customHeight="1" x14ac:dyDescent="0.35"/>
    <row r="318" s="54" customFormat="1" ht="15" customHeight="1" x14ac:dyDescent="0.35"/>
    <row r="319" s="54" customFormat="1" ht="15" customHeight="1" x14ac:dyDescent="0.35"/>
    <row r="320" s="54" customFormat="1" ht="15" customHeight="1" x14ac:dyDescent="0.35"/>
    <row r="321" spans="14:14" s="54" customFormat="1" ht="15" customHeight="1" x14ac:dyDescent="0.35"/>
    <row r="322" spans="14:14" s="54" customFormat="1" ht="15" customHeight="1" x14ac:dyDescent="0.35"/>
    <row r="323" spans="14:14" s="54" customFormat="1" ht="15" customHeight="1" x14ac:dyDescent="0.35"/>
    <row r="324" spans="14:14" s="54" customFormat="1" ht="15" customHeight="1" x14ac:dyDescent="0.35"/>
    <row r="325" spans="14:14" s="54" customFormat="1" ht="15" customHeight="1" x14ac:dyDescent="0.35"/>
    <row r="326" spans="14:14" s="54" customFormat="1" ht="15" customHeight="1" x14ac:dyDescent="0.35"/>
    <row r="327" spans="14:14" customFormat="1" ht="15" customHeight="1" x14ac:dyDescent="0.35">
      <c r="N327" s="54"/>
    </row>
    <row r="328" spans="14:14" customFormat="1" ht="15" customHeight="1" x14ac:dyDescent="0.35"/>
    <row r="329" spans="14:14" customFormat="1" ht="15" customHeight="1" x14ac:dyDescent="0.35"/>
    <row r="330" spans="14:14" customFormat="1" ht="15" customHeight="1" x14ac:dyDescent="0.35"/>
    <row r="331" spans="14:14" customFormat="1" ht="15" customHeight="1" x14ac:dyDescent="0.35"/>
    <row r="332" spans="14:14" customFormat="1" ht="15" customHeight="1" x14ac:dyDescent="0.35"/>
    <row r="333" spans="14:14" customFormat="1" ht="15" customHeight="1" x14ac:dyDescent="0.35"/>
    <row r="334" spans="14:14" customFormat="1" ht="15" customHeight="1" x14ac:dyDescent="0.35"/>
    <row r="335" spans="14:14" customFormat="1" ht="15" customHeight="1" x14ac:dyDescent="0.35"/>
    <row r="336" spans="14:14" customFormat="1" ht="15" customHeight="1" x14ac:dyDescent="0.35"/>
    <row r="337" customFormat="1" ht="15" customHeight="1" x14ac:dyDescent="0.35"/>
    <row r="338" customFormat="1" ht="15" customHeight="1" x14ac:dyDescent="0.35"/>
    <row r="339" customFormat="1" ht="15" customHeight="1" x14ac:dyDescent="0.35"/>
    <row r="340" customFormat="1" ht="15" customHeight="1" x14ac:dyDescent="0.35"/>
    <row r="341" customFormat="1" ht="15" customHeight="1" x14ac:dyDescent="0.35"/>
    <row r="342" customFormat="1" ht="15" customHeight="1" x14ac:dyDescent="0.35"/>
    <row r="343" customFormat="1" ht="15" customHeight="1" x14ac:dyDescent="0.35"/>
    <row r="344" customFormat="1" ht="15" customHeight="1" x14ac:dyDescent="0.35"/>
    <row r="345" customFormat="1" ht="15" customHeight="1" x14ac:dyDescent="0.35"/>
    <row r="346" customFormat="1" ht="15" customHeight="1" x14ac:dyDescent="0.35"/>
    <row r="347" customFormat="1" ht="15" customHeight="1" x14ac:dyDescent="0.35"/>
    <row r="348" customFormat="1" ht="15" customHeight="1" x14ac:dyDescent="0.35"/>
    <row r="349" customFormat="1" ht="15" customHeight="1" x14ac:dyDescent="0.35"/>
    <row r="350" customFormat="1" ht="15" customHeight="1" x14ac:dyDescent="0.35"/>
    <row r="351" customFormat="1" ht="15" customHeight="1" x14ac:dyDescent="0.35"/>
    <row r="352" customFormat="1" ht="15" customHeight="1" x14ac:dyDescent="0.35"/>
    <row r="353" customFormat="1" ht="15" customHeight="1" x14ac:dyDescent="0.35"/>
    <row r="354" customFormat="1" ht="15" customHeight="1" x14ac:dyDescent="0.35"/>
    <row r="355" customFormat="1" ht="15" customHeight="1" x14ac:dyDescent="0.35"/>
    <row r="356" customFormat="1" ht="15" customHeight="1" x14ac:dyDescent="0.35"/>
    <row r="357" customFormat="1" ht="15" customHeight="1" x14ac:dyDescent="0.35"/>
    <row r="358" customFormat="1" ht="15" customHeight="1" x14ac:dyDescent="0.35"/>
    <row r="359" customFormat="1" ht="15" customHeight="1" x14ac:dyDescent="0.35"/>
    <row r="360" customFormat="1" ht="15" customHeight="1" x14ac:dyDescent="0.35"/>
    <row r="361" customFormat="1" ht="15" customHeight="1" x14ac:dyDescent="0.35"/>
    <row r="362" customFormat="1" ht="15" customHeight="1" x14ac:dyDescent="0.35"/>
    <row r="363" customFormat="1" ht="15" customHeight="1" x14ac:dyDescent="0.35"/>
    <row r="364" customFormat="1" ht="15" customHeight="1" x14ac:dyDescent="0.35"/>
    <row r="365" customFormat="1" ht="15" customHeight="1" x14ac:dyDescent="0.35"/>
    <row r="366" customFormat="1" ht="15" customHeight="1" x14ac:dyDescent="0.35"/>
    <row r="367" customFormat="1" ht="15" customHeight="1" x14ac:dyDescent="0.35"/>
    <row r="368" customFormat="1" ht="15" customHeight="1" x14ac:dyDescent="0.35"/>
    <row r="369" customFormat="1" ht="15" customHeight="1" x14ac:dyDescent="0.35"/>
    <row r="370" customFormat="1" ht="15" customHeight="1" x14ac:dyDescent="0.35"/>
    <row r="371" customFormat="1" ht="15" customHeight="1" x14ac:dyDescent="0.35"/>
    <row r="372" customFormat="1" ht="15" customHeight="1" x14ac:dyDescent="0.35"/>
    <row r="373" customFormat="1" ht="15" customHeight="1" x14ac:dyDescent="0.35"/>
    <row r="374" customFormat="1" ht="15" customHeight="1" x14ac:dyDescent="0.35"/>
    <row r="375" customFormat="1" ht="15" customHeight="1" x14ac:dyDescent="0.35"/>
    <row r="376" customFormat="1" ht="15" customHeight="1" x14ac:dyDescent="0.35"/>
    <row r="377" customFormat="1" ht="15" customHeight="1" x14ac:dyDescent="0.35"/>
    <row r="378" customFormat="1" ht="15" customHeight="1" x14ac:dyDescent="0.35"/>
    <row r="379" customFormat="1" ht="15" customHeight="1" x14ac:dyDescent="0.35"/>
    <row r="380" customFormat="1" ht="15" customHeight="1" x14ac:dyDescent="0.35"/>
    <row r="381" customFormat="1" ht="15" customHeight="1" x14ac:dyDescent="0.35"/>
    <row r="382" customFormat="1" ht="15" customHeight="1" x14ac:dyDescent="0.35"/>
    <row r="383" customFormat="1" ht="15" customHeight="1" x14ac:dyDescent="0.35"/>
    <row r="384" customFormat="1" ht="15" customHeight="1" x14ac:dyDescent="0.35"/>
    <row r="385" customFormat="1" ht="15" customHeight="1" x14ac:dyDescent="0.35"/>
    <row r="386" customFormat="1" ht="15" customHeight="1" x14ac:dyDescent="0.35"/>
    <row r="387" customFormat="1" ht="15" customHeight="1" x14ac:dyDescent="0.35"/>
    <row r="388" customFormat="1" ht="15" customHeight="1" x14ac:dyDescent="0.35"/>
    <row r="389" customFormat="1" ht="15" customHeight="1" x14ac:dyDescent="0.35"/>
    <row r="390" customFormat="1" ht="15" customHeight="1" x14ac:dyDescent="0.35"/>
    <row r="391" customFormat="1" ht="15" customHeight="1" x14ac:dyDescent="0.35"/>
    <row r="392" customFormat="1" ht="15" customHeight="1" x14ac:dyDescent="0.35"/>
    <row r="393" customFormat="1" ht="15" customHeight="1" x14ac:dyDescent="0.35"/>
    <row r="394" customFormat="1" ht="15" customHeight="1" x14ac:dyDescent="0.35"/>
    <row r="395" customFormat="1" ht="15" customHeight="1" x14ac:dyDescent="0.35"/>
    <row r="396" customFormat="1" ht="15" customHeight="1" x14ac:dyDescent="0.35"/>
    <row r="397" customFormat="1" ht="15" customHeight="1" x14ac:dyDescent="0.35"/>
    <row r="398" customFormat="1" ht="15" customHeight="1" x14ac:dyDescent="0.35"/>
    <row r="399" customFormat="1" ht="15" customHeight="1" x14ac:dyDescent="0.35"/>
    <row r="400" customFormat="1" ht="15" customHeight="1" x14ac:dyDescent="0.35"/>
    <row r="401" customFormat="1" ht="15" customHeight="1" x14ac:dyDescent="0.35"/>
    <row r="402" customFormat="1" ht="15" customHeight="1" x14ac:dyDescent="0.35"/>
    <row r="403" customFormat="1" ht="15" customHeight="1" x14ac:dyDescent="0.35"/>
    <row r="404" customFormat="1" ht="15" customHeight="1" x14ac:dyDescent="0.35"/>
    <row r="405" customFormat="1" ht="15" customHeight="1" x14ac:dyDescent="0.35"/>
    <row r="406" customFormat="1" ht="15" customHeight="1" x14ac:dyDescent="0.35"/>
    <row r="407" customFormat="1" ht="15" customHeight="1" x14ac:dyDescent="0.35"/>
    <row r="408" customFormat="1" ht="15" customHeight="1" x14ac:dyDescent="0.35"/>
    <row r="409" customFormat="1" ht="15" customHeight="1" x14ac:dyDescent="0.35"/>
    <row r="410" customFormat="1" ht="15" customHeight="1" x14ac:dyDescent="0.35"/>
    <row r="411" customFormat="1" ht="15" customHeight="1" x14ac:dyDescent="0.35"/>
    <row r="412" customFormat="1" ht="15" customHeight="1" x14ac:dyDescent="0.35"/>
    <row r="413" customFormat="1" ht="15" customHeight="1" x14ac:dyDescent="0.35"/>
    <row r="414" customFormat="1" ht="15" customHeight="1" x14ac:dyDescent="0.35"/>
    <row r="415" customFormat="1" ht="15" customHeight="1" x14ac:dyDescent="0.35"/>
    <row r="416" customFormat="1" ht="15" customHeight="1" x14ac:dyDescent="0.35"/>
    <row r="417" customFormat="1" ht="15" customHeight="1" x14ac:dyDescent="0.35"/>
    <row r="418" customFormat="1" ht="15" customHeight="1" x14ac:dyDescent="0.35"/>
    <row r="419" customFormat="1" ht="15" customHeight="1" x14ac:dyDescent="0.35"/>
    <row r="420" customFormat="1" ht="15" customHeight="1" x14ac:dyDescent="0.35"/>
    <row r="421" customFormat="1" ht="15" customHeight="1" x14ac:dyDescent="0.35"/>
    <row r="422" customFormat="1" ht="15" customHeight="1" x14ac:dyDescent="0.35"/>
    <row r="423" customFormat="1" ht="15" customHeight="1" x14ac:dyDescent="0.35"/>
    <row r="424" customFormat="1" ht="15" customHeight="1" x14ac:dyDescent="0.35"/>
    <row r="425" customFormat="1" ht="15" customHeight="1" x14ac:dyDescent="0.35"/>
    <row r="426" customFormat="1" ht="15" customHeight="1" x14ac:dyDescent="0.35"/>
    <row r="427" customFormat="1" ht="15" customHeight="1" x14ac:dyDescent="0.35"/>
    <row r="428" customFormat="1" ht="15" customHeight="1" x14ac:dyDescent="0.35"/>
    <row r="429" customFormat="1" ht="15" customHeight="1" x14ac:dyDescent="0.35"/>
    <row r="430" customFormat="1" ht="15" customHeight="1" x14ac:dyDescent="0.35"/>
    <row r="431" customFormat="1" ht="15" customHeight="1" x14ac:dyDescent="0.35"/>
    <row r="432" customFormat="1" ht="15" customHeight="1" x14ac:dyDescent="0.35"/>
    <row r="433" customFormat="1" ht="15" customHeight="1" x14ac:dyDescent="0.35"/>
    <row r="434" customFormat="1" ht="15" customHeight="1" x14ac:dyDescent="0.35"/>
    <row r="435" customFormat="1" ht="15" customHeight="1" x14ac:dyDescent="0.35"/>
    <row r="436" customFormat="1" ht="15" customHeight="1" x14ac:dyDescent="0.35"/>
    <row r="437" customFormat="1" ht="15" customHeight="1" x14ac:dyDescent="0.35"/>
    <row r="438" customFormat="1" ht="15" customHeight="1" x14ac:dyDescent="0.35"/>
    <row r="439" customFormat="1" ht="15" customHeight="1" x14ac:dyDescent="0.35"/>
    <row r="440" customFormat="1" ht="15" customHeight="1" x14ac:dyDescent="0.35"/>
    <row r="441" customFormat="1" ht="15" customHeight="1" x14ac:dyDescent="0.35"/>
    <row r="442" customFormat="1" ht="15" customHeight="1" x14ac:dyDescent="0.35"/>
    <row r="443" customFormat="1" ht="15" customHeight="1" x14ac:dyDescent="0.35"/>
    <row r="444" customFormat="1" ht="15" customHeight="1" x14ac:dyDescent="0.35"/>
    <row r="445" customFormat="1" ht="15" customHeight="1" x14ac:dyDescent="0.35"/>
    <row r="446" customFormat="1" ht="15" customHeight="1" x14ac:dyDescent="0.35"/>
    <row r="447" customFormat="1" ht="15" customHeight="1" x14ac:dyDescent="0.35"/>
    <row r="448" customFormat="1" ht="15" customHeight="1" x14ac:dyDescent="0.35"/>
    <row r="449" customFormat="1" ht="15" customHeight="1" x14ac:dyDescent="0.35"/>
    <row r="450" customFormat="1" ht="15" customHeight="1" x14ac:dyDescent="0.35"/>
    <row r="451" customFormat="1" ht="15" customHeight="1" x14ac:dyDescent="0.35"/>
    <row r="452" customFormat="1" ht="15" customHeight="1" x14ac:dyDescent="0.35"/>
    <row r="453" customFormat="1" ht="15" customHeight="1" x14ac:dyDescent="0.35"/>
    <row r="454" customFormat="1" ht="15" customHeight="1" x14ac:dyDescent="0.35"/>
    <row r="455" customFormat="1" ht="15" customHeight="1" x14ac:dyDescent="0.35"/>
    <row r="456" customFormat="1" ht="15" customHeight="1" x14ac:dyDescent="0.35"/>
    <row r="457" customFormat="1" ht="15" customHeight="1" x14ac:dyDescent="0.35"/>
    <row r="458" customFormat="1" ht="15" customHeight="1" x14ac:dyDescent="0.35"/>
    <row r="459" customFormat="1" ht="15" customHeight="1" x14ac:dyDescent="0.35"/>
    <row r="460" customFormat="1" ht="15" customHeight="1" x14ac:dyDescent="0.35"/>
    <row r="461" customFormat="1" ht="15" customHeight="1" x14ac:dyDescent="0.35"/>
    <row r="462" customFormat="1" ht="15" customHeight="1" x14ac:dyDescent="0.35"/>
    <row r="463" customFormat="1" ht="15" customHeight="1" x14ac:dyDescent="0.35"/>
    <row r="464" customFormat="1" ht="15" customHeight="1" x14ac:dyDescent="0.35"/>
    <row r="465" customFormat="1" ht="15" customHeight="1" x14ac:dyDescent="0.35"/>
    <row r="466" customFormat="1" ht="15" customHeight="1" x14ac:dyDescent="0.35"/>
    <row r="467" customFormat="1" ht="15" customHeight="1" x14ac:dyDescent="0.35"/>
    <row r="468" customFormat="1" ht="15" customHeight="1" x14ac:dyDescent="0.35"/>
    <row r="469" customFormat="1" ht="15" customHeight="1" x14ac:dyDescent="0.35"/>
    <row r="470" customFormat="1" ht="15" customHeight="1" x14ac:dyDescent="0.35"/>
    <row r="471" customFormat="1" ht="15" customHeight="1" x14ac:dyDescent="0.35"/>
    <row r="472" customFormat="1" ht="15" customHeight="1" x14ac:dyDescent="0.35"/>
    <row r="473" customFormat="1" ht="15" customHeight="1" x14ac:dyDescent="0.35"/>
    <row r="474" customFormat="1" ht="15" customHeight="1" x14ac:dyDescent="0.35"/>
    <row r="475" customFormat="1" ht="15" customHeight="1" x14ac:dyDescent="0.35"/>
    <row r="476" customFormat="1" ht="15" customHeight="1" x14ac:dyDescent="0.35"/>
    <row r="477" customFormat="1" ht="15" customHeight="1" x14ac:dyDescent="0.35"/>
    <row r="478" customFormat="1" ht="15" customHeight="1" x14ac:dyDescent="0.35"/>
    <row r="479" customFormat="1" ht="15" customHeight="1" x14ac:dyDescent="0.35"/>
    <row r="480" customFormat="1" ht="15" customHeight="1" x14ac:dyDescent="0.35"/>
    <row r="481" customFormat="1" ht="15" customHeight="1" x14ac:dyDescent="0.35"/>
    <row r="482" customFormat="1" ht="15" customHeight="1" x14ac:dyDescent="0.35"/>
    <row r="483" customFormat="1" ht="15" customHeight="1" x14ac:dyDescent="0.35"/>
    <row r="484" customFormat="1" ht="15" customHeight="1" x14ac:dyDescent="0.35"/>
    <row r="485" customFormat="1" ht="15" customHeight="1" x14ac:dyDescent="0.35"/>
    <row r="486" customFormat="1" ht="15" customHeight="1" x14ac:dyDescent="0.35"/>
    <row r="487" customFormat="1" ht="15" customHeight="1" x14ac:dyDescent="0.35"/>
    <row r="488" customFormat="1" ht="15" customHeight="1" x14ac:dyDescent="0.35"/>
    <row r="489" customFormat="1" ht="15" customHeight="1" x14ac:dyDescent="0.35"/>
    <row r="490" customFormat="1" ht="15" customHeight="1" x14ac:dyDescent="0.35"/>
    <row r="491" customFormat="1" ht="15" customHeight="1" x14ac:dyDescent="0.35"/>
    <row r="492" customFormat="1" ht="15" customHeight="1" x14ac:dyDescent="0.35"/>
    <row r="493" customFormat="1" ht="15" customHeight="1" x14ac:dyDescent="0.35"/>
    <row r="494" customFormat="1" ht="15" customHeight="1" x14ac:dyDescent="0.35"/>
    <row r="495" customFormat="1" ht="15" customHeight="1" x14ac:dyDescent="0.35"/>
    <row r="496" customFormat="1" ht="15" customHeight="1" x14ac:dyDescent="0.35"/>
    <row r="497" customFormat="1" ht="15" customHeight="1" x14ac:dyDescent="0.35"/>
    <row r="498" customFormat="1" ht="15" customHeight="1" x14ac:dyDescent="0.35"/>
    <row r="499" customFormat="1" ht="15" customHeight="1" x14ac:dyDescent="0.35"/>
    <row r="500" customFormat="1" ht="15" customHeight="1" x14ac:dyDescent="0.35"/>
    <row r="501" customFormat="1" ht="15" customHeight="1" x14ac:dyDescent="0.35"/>
    <row r="502" customFormat="1" ht="15" customHeight="1" x14ac:dyDescent="0.35"/>
    <row r="503" customFormat="1" ht="15" customHeight="1" x14ac:dyDescent="0.35"/>
    <row r="504" customFormat="1" ht="15" customHeight="1" x14ac:dyDescent="0.35"/>
    <row r="505" customFormat="1" ht="15" customHeight="1" x14ac:dyDescent="0.35"/>
    <row r="506" customFormat="1" ht="15" customHeight="1" x14ac:dyDescent="0.35"/>
    <row r="507" customFormat="1" ht="15" customHeight="1" x14ac:dyDescent="0.35"/>
    <row r="508" customFormat="1" ht="15" customHeight="1" x14ac:dyDescent="0.35"/>
    <row r="509" customFormat="1" ht="15" customHeight="1" x14ac:dyDescent="0.35"/>
    <row r="510" customFormat="1" ht="15" customHeight="1" x14ac:dyDescent="0.35"/>
    <row r="511" customFormat="1" ht="15" customHeight="1" x14ac:dyDescent="0.35"/>
    <row r="512" customFormat="1" ht="15" customHeight="1" x14ac:dyDescent="0.35"/>
    <row r="513" customFormat="1" ht="15" customHeight="1" x14ac:dyDescent="0.35"/>
    <row r="514" customFormat="1" ht="15" customHeight="1" x14ac:dyDescent="0.35"/>
    <row r="515" customFormat="1" ht="15" customHeight="1" x14ac:dyDescent="0.35"/>
    <row r="516" customFormat="1" ht="15" customHeight="1" x14ac:dyDescent="0.35"/>
    <row r="517" customFormat="1" ht="15" customHeight="1" x14ac:dyDescent="0.35"/>
    <row r="518" customFormat="1" ht="15" customHeight="1" x14ac:dyDescent="0.35"/>
    <row r="519" customFormat="1" ht="15" customHeight="1" x14ac:dyDescent="0.35"/>
    <row r="520" customFormat="1" ht="15" customHeight="1" x14ac:dyDescent="0.35"/>
    <row r="521" customFormat="1" ht="15" customHeight="1" x14ac:dyDescent="0.35"/>
    <row r="522" customFormat="1" ht="15" customHeight="1" x14ac:dyDescent="0.35"/>
    <row r="523" customFormat="1" ht="15" customHeight="1" x14ac:dyDescent="0.35"/>
    <row r="524" customFormat="1" ht="15" customHeight="1" x14ac:dyDescent="0.35"/>
    <row r="525" customFormat="1" ht="15" customHeight="1" x14ac:dyDescent="0.35"/>
    <row r="526" customFormat="1" ht="15" customHeight="1" x14ac:dyDescent="0.35"/>
    <row r="527" customFormat="1" ht="15" customHeight="1" x14ac:dyDescent="0.35"/>
    <row r="528" customFormat="1" ht="15" customHeight="1" x14ac:dyDescent="0.35"/>
    <row r="529" customFormat="1" ht="15" customHeight="1" x14ac:dyDescent="0.35"/>
    <row r="530" customFormat="1" ht="15" customHeight="1" x14ac:dyDescent="0.35"/>
    <row r="531" customFormat="1" ht="15" customHeight="1" x14ac:dyDescent="0.35"/>
    <row r="532" customFormat="1" ht="15" customHeight="1" x14ac:dyDescent="0.35"/>
    <row r="533" customFormat="1" ht="15" customHeight="1" x14ac:dyDescent="0.35"/>
    <row r="534" customFormat="1" ht="15" customHeight="1" x14ac:dyDescent="0.35"/>
    <row r="535" customFormat="1" ht="15" customHeight="1" x14ac:dyDescent="0.35"/>
    <row r="536" customFormat="1" ht="15" customHeight="1" x14ac:dyDescent="0.35"/>
    <row r="537" customFormat="1" ht="15" customHeight="1" x14ac:dyDescent="0.35"/>
    <row r="538" customFormat="1" ht="15" customHeight="1" x14ac:dyDescent="0.35"/>
    <row r="539" customFormat="1" ht="15" customHeight="1" x14ac:dyDescent="0.35"/>
    <row r="540" customFormat="1" ht="15" customHeight="1" x14ac:dyDescent="0.35"/>
    <row r="541" customFormat="1" ht="15" customHeight="1" x14ac:dyDescent="0.35"/>
    <row r="542" customFormat="1" ht="15" customHeight="1" x14ac:dyDescent="0.35"/>
    <row r="543" customFormat="1" ht="15" customHeight="1" x14ac:dyDescent="0.35"/>
    <row r="544" customFormat="1" ht="15" customHeight="1" x14ac:dyDescent="0.35"/>
    <row r="545" customFormat="1" ht="15" customHeight="1" x14ac:dyDescent="0.35"/>
    <row r="546" customFormat="1" ht="15" customHeight="1" x14ac:dyDescent="0.35"/>
    <row r="547" customFormat="1" ht="15" customHeight="1" x14ac:dyDescent="0.35"/>
    <row r="548" customFormat="1" ht="15" customHeight="1" x14ac:dyDescent="0.35"/>
    <row r="549" customFormat="1" ht="15" customHeight="1" x14ac:dyDescent="0.35"/>
    <row r="550" customFormat="1" ht="15" customHeight="1" x14ac:dyDescent="0.35"/>
    <row r="551" customFormat="1" ht="15" customHeight="1" x14ac:dyDescent="0.35"/>
    <row r="552" customFormat="1" ht="15" customHeight="1" x14ac:dyDescent="0.35"/>
    <row r="553" customFormat="1" ht="15" customHeight="1" x14ac:dyDescent="0.35"/>
    <row r="554" customFormat="1" ht="15" customHeight="1" x14ac:dyDescent="0.35"/>
    <row r="555" customFormat="1" ht="15" customHeight="1" x14ac:dyDescent="0.35"/>
    <row r="556" customFormat="1" ht="15" customHeight="1" x14ac:dyDescent="0.35"/>
    <row r="557" customFormat="1" ht="15" customHeight="1" x14ac:dyDescent="0.35"/>
    <row r="558" customFormat="1" ht="15" customHeight="1" x14ac:dyDescent="0.35"/>
    <row r="559" customFormat="1" ht="15" customHeight="1" x14ac:dyDescent="0.35"/>
    <row r="560" customFormat="1" ht="15" customHeight="1" x14ac:dyDescent="0.35"/>
    <row r="561" customFormat="1" ht="15" customHeight="1" x14ac:dyDescent="0.35"/>
    <row r="562" customFormat="1" ht="15" customHeight="1" x14ac:dyDescent="0.35"/>
    <row r="563" customFormat="1" ht="15" customHeight="1" x14ac:dyDescent="0.35"/>
    <row r="564" customFormat="1" ht="15" customHeight="1" x14ac:dyDescent="0.35"/>
    <row r="565" customFormat="1" ht="15" customHeight="1" x14ac:dyDescent="0.35"/>
    <row r="566" customFormat="1" ht="15" customHeight="1" x14ac:dyDescent="0.35"/>
    <row r="567" customFormat="1" ht="15" customHeight="1" x14ac:dyDescent="0.35"/>
    <row r="568" customFormat="1" ht="15" customHeight="1" x14ac:dyDescent="0.35"/>
    <row r="569" customFormat="1" ht="15" customHeight="1" x14ac:dyDescent="0.35"/>
    <row r="570" customFormat="1" ht="15" customHeight="1" x14ac:dyDescent="0.35"/>
    <row r="571" customFormat="1" ht="15" customHeight="1" x14ac:dyDescent="0.35"/>
    <row r="572" customFormat="1" ht="15" customHeight="1" x14ac:dyDescent="0.35"/>
    <row r="573" customFormat="1" ht="15" customHeight="1" x14ac:dyDescent="0.35"/>
    <row r="574" customFormat="1" ht="15" customHeight="1" x14ac:dyDescent="0.35"/>
    <row r="575" customFormat="1" ht="15" customHeight="1" x14ac:dyDescent="0.35"/>
    <row r="576" customFormat="1" ht="15" customHeight="1" x14ac:dyDescent="0.35"/>
    <row r="577" customFormat="1" ht="15" customHeight="1" x14ac:dyDescent="0.35"/>
    <row r="578" customFormat="1" ht="15" customHeight="1" x14ac:dyDescent="0.35"/>
    <row r="579" customFormat="1" ht="15" customHeight="1" x14ac:dyDescent="0.35"/>
    <row r="580" customFormat="1" ht="15" customHeight="1" x14ac:dyDescent="0.35"/>
    <row r="581" customFormat="1" ht="15" customHeight="1" x14ac:dyDescent="0.35"/>
    <row r="582" customFormat="1" ht="15" customHeight="1" x14ac:dyDescent="0.35"/>
    <row r="583" customFormat="1" ht="15" customHeight="1" x14ac:dyDescent="0.35"/>
    <row r="584" customFormat="1" ht="15" customHeight="1" x14ac:dyDescent="0.35"/>
    <row r="585" customFormat="1" ht="15" customHeight="1" x14ac:dyDescent="0.35"/>
    <row r="586" customFormat="1" ht="15" customHeight="1" x14ac:dyDescent="0.35"/>
    <row r="587" customFormat="1" ht="15" customHeight="1" x14ac:dyDescent="0.35"/>
    <row r="588" customFormat="1" ht="15" customHeight="1" x14ac:dyDescent="0.35"/>
    <row r="589" customFormat="1" ht="15" customHeight="1" x14ac:dyDescent="0.35"/>
    <row r="590" customFormat="1" ht="15" customHeight="1" x14ac:dyDescent="0.35"/>
    <row r="591" customFormat="1" ht="15" customHeight="1" x14ac:dyDescent="0.35"/>
    <row r="592" customFormat="1" ht="15" customHeight="1" x14ac:dyDescent="0.35"/>
    <row r="593" customFormat="1" ht="15" customHeight="1" x14ac:dyDescent="0.35"/>
    <row r="594" customFormat="1" ht="15" customHeight="1" x14ac:dyDescent="0.35"/>
    <row r="595" customFormat="1" ht="15" customHeight="1" x14ac:dyDescent="0.35"/>
    <row r="596" customFormat="1" ht="15" customHeight="1" x14ac:dyDescent="0.35"/>
    <row r="597" customFormat="1" ht="15" customHeight="1" x14ac:dyDescent="0.35"/>
    <row r="598" customFormat="1" ht="15" customHeight="1" x14ac:dyDescent="0.35"/>
    <row r="599" customFormat="1" ht="15" customHeight="1" x14ac:dyDescent="0.35"/>
    <row r="600" customFormat="1" ht="15" customHeight="1" x14ac:dyDescent="0.35"/>
    <row r="601" customFormat="1" ht="15" customHeight="1" x14ac:dyDescent="0.35"/>
    <row r="602" customFormat="1" ht="15" customHeight="1" x14ac:dyDescent="0.35"/>
    <row r="603" customFormat="1" ht="15" customHeight="1" x14ac:dyDescent="0.35"/>
    <row r="604" customFormat="1" ht="15" customHeight="1" x14ac:dyDescent="0.35"/>
    <row r="605" customFormat="1" ht="15" customHeight="1" x14ac:dyDescent="0.35"/>
    <row r="606" customFormat="1" ht="15" customHeight="1" x14ac:dyDescent="0.35"/>
    <row r="607" customFormat="1" ht="15" customHeight="1" x14ac:dyDescent="0.35"/>
    <row r="608" customFormat="1" ht="15" customHeight="1" x14ac:dyDescent="0.35"/>
    <row r="609" customFormat="1" ht="15" customHeight="1" x14ac:dyDescent="0.35"/>
    <row r="610" customFormat="1" ht="15" customHeight="1" x14ac:dyDescent="0.35"/>
    <row r="611" customFormat="1" ht="15" customHeight="1" x14ac:dyDescent="0.35"/>
    <row r="612" customFormat="1" ht="15" customHeight="1" x14ac:dyDescent="0.35"/>
    <row r="613" customFormat="1" ht="15" customHeight="1" x14ac:dyDescent="0.35"/>
    <row r="614" customFormat="1" ht="15" customHeight="1" x14ac:dyDescent="0.35"/>
    <row r="615" customFormat="1" ht="15" customHeight="1" x14ac:dyDescent="0.35"/>
    <row r="616" customFormat="1" ht="15" customHeight="1" x14ac:dyDescent="0.35"/>
    <row r="617" customFormat="1" ht="15" customHeight="1" x14ac:dyDescent="0.35"/>
    <row r="618" customFormat="1" ht="15" customHeight="1" x14ac:dyDescent="0.35"/>
    <row r="619" customFormat="1" ht="15" customHeight="1" x14ac:dyDescent="0.35"/>
    <row r="620" customFormat="1" ht="15" customHeight="1" x14ac:dyDescent="0.35"/>
    <row r="621" customFormat="1" ht="15" customHeight="1" x14ac:dyDescent="0.35"/>
    <row r="622" customFormat="1" ht="15" customHeight="1" x14ac:dyDescent="0.35"/>
    <row r="623" customFormat="1" ht="15" customHeight="1" x14ac:dyDescent="0.35"/>
    <row r="624" customFormat="1" ht="15" customHeight="1" x14ac:dyDescent="0.35"/>
    <row r="625" customFormat="1" ht="15" customHeight="1" x14ac:dyDescent="0.35"/>
    <row r="626" customFormat="1" ht="15" customHeight="1" x14ac:dyDescent="0.35"/>
    <row r="627" customFormat="1" ht="15" customHeight="1" x14ac:dyDescent="0.35"/>
    <row r="628" customFormat="1" ht="15" customHeight="1" x14ac:dyDescent="0.35"/>
    <row r="629" customFormat="1" ht="15" customHeight="1" x14ac:dyDescent="0.35"/>
    <row r="630" customFormat="1" ht="15" customHeight="1" x14ac:dyDescent="0.35"/>
    <row r="631" customFormat="1" ht="15" customHeight="1" x14ac:dyDescent="0.35"/>
    <row r="632" customFormat="1" ht="15" customHeight="1" x14ac:dyDescent="0.35"/>
    <row r="633" customFormat="1" ht="15" customHeight="1" x14ac:dyDescent="0.35"/>
    <row r="634" customFormat="1" ht="15" customHeight="1" x14ac:dyDescent="0.35"/>
    <row r="635" customFormat="1" ht="15" customHeight="1" x14ac:dyDescent="0.35"/>
    <row r="636" customFormat="1" ht="15" customHeight="1" x14ac:dyDescent="0.35"/>
    <row r="637" customFormat="1" ht="15" customHeight="1" x14ac:dyDescent="0.35"/>
    <row r="638" customFormat="1" ht="15" customHeight="1" x14ac:dyDescent="0.35"/>
    <row r="639" customFormat="1" ht="15" customHeight="1" x14ac:dyDescent="0.35"/>
    <row r="640" customFormat="1" ht="15" customHeight="1" x14ac:dyDescent="0.35"/>
    <row r="641" customFormat="1" ht="15" customHeight="1" x14ac:dyDescent="0.35"/>
    <row r="642" customFormat="1" ht="15" customHeight="1" x14ac:dyDescent="0.35"/>
    <row r="643" customFormat="1" ht="15" customHeight="1" x14ac:dyDescent="0.35"/>
    <row r="644" customFormat="1" ht="15" customHeight="1" x14ac:dyDescent="0.35"/>
    <row r="645" customFormat="1" ht="15" customHeight="1" x14ac:dyDescent="0.35"/>
    <row r="646" customFormat="1" ht="15" customHeight="1" x14ac:dyDescent="0.35"/>
    <row r="647" customFormat="1" ht="15" customHeight="1" x14ac:dyDescent="0.35"/>
    <row r="648" customFormat="1" ht="15" customHeight="1" x14ac:dyDescent="0.35"/>
    <row r="649" customFormat="1" ht="15" customHeight="1" x14ac:dyDescent="0.35"/>
    <row r="650" customFormat="1" ht="15" customHeight="1" x14ac:dyDescent="0.35"/>
    <row r="651" customFormat="1" ht="15" customHeight="1" x14ac:dyDescent="0.35"/>
    <row r="652" customFormat="1" ht="15" customHeight="1" x14ac:dyDescent="0.35"/>
    <row r="653" customFormat="1" ht="15" customHeight="1" x14ac:dyDescent="0.35"/>
    <row r="654" customFormat="1" ht="15" customHeight="1" x14ac:dyDescent="0.35"/>
    <row r="655" customFormat="1" ht="15" customHeight="1" x14ac:dyDescent="0.35"/>
    <row r="656" customFormat="1" ht="15" customHeight="1" x14ac:dyDescent="0.35"/>
    <row r="657" customFormat="1" ht="15" customHeight="1" x14ac:dyDescent="0.35"/>
    <row r="658" customFormat="1" ht="15" customHeight="1" x14ac:dyDescent="0.35"/>
    <row r="659" customFormat="1" ht="15" customHeight="1" x14ac:dyDescent="0.35"/>
    <row r="660" customFormat="1" ht="15" customHeight="1" x14ac:dyDescent="0.35"/>
    <row r="661" customFormat="1" ht="15" customHeight="1" x14ac:dyDescent="0.35"/>
    <row r="662" customFormat="1" ht="15" customHeight="1" x14ac:dyDescent="0.35"/>
    <row r="663" customFormat="1" ht="15" customHeight="1" x14ac:dyDescent="0.35"/>
    <row r="664" customFormat="1" ht="15" customHeight="1" x14ac:dyDescent="0.35"/>
    <row r="665" customFormat="1" ht="15" customHeight="1" x14ac:dyDescent="0.35"/>
    <row r="666" customFormat="1" ht="15" customHeight="1" x14ac:dyDescent="0.35"/>
    <row r="667" customFormat="1" ht="15" customHeight="1" x14ac:dyDescent="0.35"/>
    <row r="668" customFormat="1" ht="15" customHeight="1" x14ac:dyDescent="0.35"/>
    <row r="669" customFormat="1" ht="15" customHeight="1" x14ac:dyDescent="0.35"/>
    <row r="670" customFormat="1" ht="15" customHeight="1" x14ac:dyDescent="0.35"/>
    <row r="671" customFormat="1" ht="15" customHeight="1" x14ac:dyDescent="0.35"/>
    <row r="672" customFormat="1" ht="15" customHeight="1" x14ac:dyDescent="0.35"/>
    <row r="673" customFormat="1" ht="15" customHeight="1" x14ac:dyDescent="0.35"/>
    <row r="674" customFormat="1" ht="15" customHeight="1" x14ac:dyDescent="0.35"/>
    <row r="675" customFormat="1" ht="15" customHeight="1" x14ac:dyDescent="0.35"/>
    <row r="676" customFormat="1" ht="15" customHeight="1" x14ac:dyDescent="0.35"/>
    <row r="677" customFormat="1" ht="15" customHeight="1" x14ac:dyDescent="0.35"/>
    <row r="678" customFormat="1" ht="15" customHeight="1" x14ac:dyDescent="0.35"/>
    <row r="679" customFormat="1" ht="15" customHeight="1" x14ac:dyDescent="0.35"/>
    <row r="680" customFormat="1" ht="15" customHeight="1" x14ac:dyDescent="0.35"/>
    <row r="681" customFormat="1" ht="15" customHeight="1" x14ac:dyDescent="0.35"/>
    <row r="682" customFormat="1" ht="15" customHeight="1" x14ac:dyDescent="0.35"/>
    <row r="683" customFormat="1" ht="15" customHeight="1" x14ac:dyDescent="0.35"/>
    <row r="684" customFormat="1" ht="15" customHeight="1" x14ac:dyDescent="0.35"/>
    <row r="685" customFormat="1" ht="15" customHeight="1" x14ac:dyDescent="0.35"/>
    <row r="686" customFormat="1" ht="15" customHeight="1" x14ac:dyDescent="0.35"/>
    <row r="687" customFormat="1" ht="15" customHeight="1" x14ac:dyDescent="0.35"/>
    <row r="688" customFormat="1" ht="15" customHeight="1" x14ac:dyDescent="0.35"/>
    <row r="689" customFormat="1" ht="15" customHeight="1" x14ac:dyDescent="0.35"/>
    <row r="690" customFormat="1" ht="15" customHeight="1" x14ac:dyDescent="0.35"/>
    <row r="691" customFormat="1" ht="15" customHeight="1" x14ac:dyDescent="0.35"/>
    <row r="692" customFormat="1" ht="15" customHeight="1" x14ac:dyDescent="0.35"/>
    <row r="693" customFormat="1" ht="15" customHeight="1" x14ac:dyDescent="0.35"/>
    <row r="694" customFormat="1" ht="15" customHeight="1" x14ac:dyDescent="0.35"/>
    <row r="695" customFormat="1" ht="15" customHeight="1" x14ac:dyDescent="0.35"/>
    <row r="696" customFormat="1" ht="15" customHeight="1" x14ac:dyDescent="0.35"/>
    <row r="697" customFormat="1" ht="15" customHeight="1" x14ac:dyDescent="0.35"/>
    <row r="698" customFormat="1" ht="15" customHeight="1" x14ac:dyDescent="0.35"/>
    <row r="699" customFormat="1" ht="15" customHeight="1" x14ac:dyDescent="0.35"/>
    <row r="700" customFormat="1" ht="15" customHeight="1" x14ac:dyDescent="0.35"/>
    <row r="701" customFormat="1" ht="15" customHeight="1" x14ac:dyDescent="0.35"/>
    <row r="702" customFormat="1" ht="15" customHeight="1" x14ac:dyDescent="0.35"/>
    <row r="703" customFormat="1" ht="15" customHeight="1" x14ac:dyDescent="0.35"/>
    <row r="704" customFormat="1" ht="15" customHeight="1" x14ac:dyDescent="0.35"/>
    <row r="705" customFormat="1" ht="15" customHeight="1" x14ac:dyDescent="0.35"/>
    <row r="706" customFormat="1" ht="15" customHeight="1" x14ac:dyDescent="0.35"/>
    <row r="707" customFormat="1" ht="15" customHeight="1" x14ac:dyDescent="0.35"/>
    <row r="708" customFormat="1" ht="15" customHeight="1" x14ac:dyDescent="0.35"/>
    <row r="709" customFormat="1" ht="15" customHeight="1" x14ac:dyDescent="0.35"/>
    <row r="710" customFormat="1" ht="15" customHeight="1" x14ac:dyDescent="0.35"/>
    <row r="711" customFormat="1" ht="15" customHeight="1" x14ac:dyDescent="0.35"/>
    <row r="712" customFormat="1" ht="15" customHeight="1" x14ac:dyDescent="0.35"/>
    <row r="713" customFormat="1" ht="15" customHeight="1" x14ac:dyDescent="0.35"/>
    <row r="714" customFormat="1" ht="15" customHeight="1" x14ac:dyDescent="0.35"/>
    <row r="715" customFormat="1" ht="15" customHeight="1" x14ac:dyDescent="0.35"/>
    <row r="716" customFormat="1" ht="15" customHeight="1" x14ac:dyDescent="0.35"/>
    <row r="717" customFormat="1" ht="15" customHeight="1" x14ac:dyDescent="0.35"/>
    <row r="718" customFormat="1" ht="15" customHeight="1" x14ac:dyDescent="0.35"/>
    <row r="719" customFormat="1" ht="15" customHeight="1" x14ac:dyDescent="0.35"/>
    <row r="720" customFormat="1" ht="15" customHeight="1" x14ac:dyDescent="0.35"/>
    <row r="721" customFormat="1" ht="15" customHeight="1" x14ac:dyDescent="0.35"/>
    <row r="722" customFormat="1" ht="15" customHeight="1" x14ac:dyDescent="0.35"/>
    <row r="723" customFormat="1" ht="15" customHeight="1" x14ac:dyDescent="0.35"/>
    <row r="724" customFormat="1" ht="15" customHeight="1" x14ac:dyDescent="0.35"/>
    <row r="725" customFormat="1" ht="15" customHeight="1" x14ac:dyDescent="0.35"/>
    <row r="726" customFormat="1" ht="15" customHeight="1" x14ac:dyDescent="0.35"/>
    <row r="727" customFormat="1" ht="15" customHeight="1" x14ac:dyDescent="0.35"/>
    <row r="728" customFormat="1" ht="15" customHeight="1" x14ac:dyDescent="0.35"/>
    <row r="729" customFormat="1" ht="15" customHeight="1" x14ac:dyDescent="0.35"/>
    <row r="730" customFormat="1" ht="15" customHeight="1" x14ac:dyDescent="0.35"/>
    <row r="731" customFormat="1" ht="15" customHeight="1" x14ac:dyDescent="0.35"/>
    <row r="732" customFormat="1" ht="15" customHeight="1" x14ac:dyDescent="0.35"/>
    <row r="733" customFormat="1" ht="15" customHeight="1" x14ac:dyDescent="0.35"/>
    <row r="734" customFormat="1" ht="15" customHeight="1" x14ac:dyDescent="0.35"/>
    <row r="735" customFormat="1" ht="15" customHeight="1" x14ac:dyDescent="0.35"/>
    <row r="736" customFormat="1" ht="15" customHeight="1" x14ac:dyDescent="0.35"/>
    <row r="737" customFormat="1" ht="15" customHeight="1" x14ac:dyDescent="0.35"/>
    <row r="738" customFormat="1" ht="15" customHeight="1" x14ac:dyDescent="0.35"/>
    <row r="739" customFormat="1" ht="15" customHeight="1" x14ac:dyDescent="0.35"/>
    <row r="740" customFormat="1" ht="15" customHeight="1" x14ac:dyDescent="0.35"/>
    <row r="741" customFormat="1" ht="15" customHeight="1" x14ac:dyDescent="0.35"/>
    <row r="742" customFormat="1" ht="15" customHeight="1" x14ac:dyDescent="0.35"/>
    <row r="743" customFormat="1" ht="15" customHeight="1" x14ac:dyDescent="0.35"/>
    <row r="744" customFormat="1" ht="15" customHeight="1" x14ac:dyDescent="0.35"/>
    <row r="745" customFormat="1" ht="15" customHeight="1" x14ac:dyDescent="0.35"/>
    <row r="746" customFormat="1" ht="15" customHeight="1" x14ac:dyDescent="0.35"/>
    <row r="747" customFormat="1" ht="15" customHeight="1" x14ac:dyDescent="0.35"/>
    <row r="748" customFormat="1" ht="15" customHeight="1" x14ac:dyDescent="0.35"/>
    <row r="749" customFormat="1" ht="15" customHeight="1" x14ac:dyDescent="0.35"/>
    <row r="750" customFormat="1" ht="15" customHeight="1" x14ac:dyDescent="0.35"/>
    <row r="751" customFormat="1" ht="15" customHeight="1" x14ac:dyDescent="0.35"/>
    <row r="752" customFormat="1" ht="15" customHeight="1" x14ac:dyDescent="0.35"/>
    <row r="753" customFormat="1" ht="15" customHeight="1" x14ac:dyDescent="0.35"/>
    <row r="754" customFormat="1" ht="15" customHeight="1" x14ac:dyDescent="0.35"/>
    <row r="755" customFormat="1" ht="15" customHeight="1" x14ac:dyDescent="0.35"/>
    <row r="756" customFormat="1" ht="15" customHeight="1" x14ac:dyDescent="0.35"/>
    <row r="757" customFormat="1" ht="15" customHeight="1" x14ac:dyDescent="0.35"/>
    <row r="758" customFormat="1" ht="15" customHeight="1" x14ac:dyDescent="0.35"/>
    <row r="759" customFormat="1" ht="15" customHeight="1" x14ac:dyDescent="0.35"/>
    <row r="760" customFormat="1" ht="15" customHeight="1" x14ac:dyDescent="0.35"/>
    <row r="761" customFormat="1" ht="15" customHeight="1" x14ac:dyDescent="0.35"/>
    <row r="762" customFormat="1" ht="15" customHeight="1" x14ac:dyDescent="0.35"/>
    <row r="763" customFormat="1" ht="15" customHeight="1" x14ac:dyDescent="0.35"/>
    <row r="764" customFormat="1" ht="15" customHeight="1" x14ac:dyDescent="0.35"/>
    <row r="765" customFormat="1" ht="15" customHeight="1" x14ac:dyDescent="0.35"/>
    <row r="766" customFormat="1" ht="15" customHeight="1" x14ac:dyDescent="0.35"/>
    <row r="767" customFormat="1" ht="15" customHeight="1" x14ac:dyDescent="0.35"/>
    <row r="768" customFormat="1" ht="15" customHeight="1" x14ac:dyDescent="0.35"/>
    <row r="769" customFormat="1" ht="15" customHeight="1" x14ac:dyDescent="0.35"/>
    <row r="770" customFormat="1" ht="15" customHeight="1" x14ac:dyDescent="0.35"/>
    <row r="771" customFormat="1" ht="15" customHeight="1" x14ac:dyDescent="0.35"/>
    <row r="772" customFormat="1" ht="15" customHeight="1" x14ac:dyDescent="0.35"/>
    <row r="773" customFormat="1" ht="15" customHeight="1" x14ac:dyDescent="0.35"/>
    <row r="774" customFormat="1" ht="15" customHeight="1" x14ac:dyDescent="0.35"/>
    <row r="775" customFormat="1" ht="15" customHeight="1" x14ac:dyDescent="0.35"/>
    <row r="776" customFormat="1" ht="15" customHeight="1" x14ac:dyDescent="0.35"/>
    <row r="777" customFormat="1" ht="15" customHeight="1" x14ac:dyDescent="0.35"/>
    <row r="778" customFormat="1" ht="15" customHeight="1" x14ac:dyDescent="0.35"/>
    <row r="779" customFormat="1" ht="15" customHeight="1" x14ac:dyDescent="0.35"/>
    <row r="780" customFormat="1" ht="15" customHeight="1" x14ac:dyDescent="0.35"/>
    <row r="781" customFormat="1" ht="15" customHeight="1" x14ac:dyDescent="0.35"/>
    <row r="782" customFormat="1" ht="15" customHeight="1" x14ac:dyDescent="0.35"/>
    <row r="783" customFormat="1" ht="15" customHeight="1" x14ac:dyDescent="0.35"/>
    <row r="784" customFormat="1" ht="15" customHeight="1" x14ac:dyDescent="0.35"/>
    <row r="785" customFormat="1" ht="15" customHeight="1" x14ac:dyDescent="0.35"/>
    <row r="786" customFormat="1" ht="15" customHeight="1" x14ac:dyDescent="0.35"/>
    <row r="787" customFormat="1" ht="15" customHeight="1" x14ac:dyDescent="0.35"/>
    <row r="788" customFormat="1" ht="15" customHeight="1" x14ac:dyDescent="0.35"/>
    <row r="789" customFormat="1" ht="15" customHeight="1" x14ac:dyDescent="0.35"/>
    <row r="790" customFormat="1" ht="15" customHeight="1" x14ac:dyDescent="0.35"/>
    <row r="791" customFormat="1" ht="15" customHeight="1" x14ac:dyDescent="0.35"/>
    <row r="792" customFormat="1" ht="15" customHeight="1" x14ac:dyDescent="0.35"/>
    <row r="793" customFormat="1" ht="15" customHeight="1" x14ac:dyDescent="0.35"/>
    <row r="794" customFormat="1" ht="15" customHeight="1" x14ac:dyDescent="0.35"/>
    <row r="795" customFormat="1" ht="15" customHeight="1" x14ac:dyDescent="0.35"/>
    <row r="796" customFormat="1" ht="15" customHeight="1" x14ac:dyDescent="0.35"/>
    <row r="797" customFormat="1" ht="15" customHeight="1" x14ac:dyDescent="0.35"/>
    <row r="798" customFormat="1" ht="15" customHeight="1" x14ac:dyDescent="0.35"/>
    <row r="799" customFormat="1" ht="15" customHeight="1" x14ac:dyDescent="0.35"/>
    <row r="800" customFormat="1" ht="15" customHeight="1" x14ac:dyDescent="0.35"/>
    <row r="801" customFormat="1" ht="15" customHeight="1" x14ac:dyDescent="0.35"/>
    <row r="802" customFormat="1" ht="15" customHeight="1" x14ac:dyDescent="0.35"/>
    <row r="803" customFormat="1" ht="15" customHeight="1" x14ac:dyDescent="0.35"/>
    <row r="804" customFormat="1" ht="15" customHeight="1" x14ac:dyDescent="0.35"/>
    <row r="805" customFormat="1" ht="15" customHeight="1" x14ac:dyDescent="0.35"/>
    <row r="806" customFormat="1" ht="15" customHeight="1" x14ac:dyDescent="0.35"/>
    <row r="807" customFormat="1" ht="15" customHeight="1" x14ac:dyDescent="0.35"/>
    <row r="808" customFormat="1" ht="15" customHeight="1" x14ac:dyDescent="0.35"/>
    <row r="809" customFormat="1" ht="15" customHeight="1" x14ac:dyDescent="0.35"/>
    <row r="810" customFormat="1" ht="15" customHeight="1" x14ac:dyDescent="0.35"/>
    <row r="811" customFormat="1" ht="15" customHeight="1" x14ac:dyDescent="0.35"/>
    <row r="812" customFormat="1" ht="15" customHeight="1" x14ac:dyDescent="0.35"/>
    <row r="813" customFormat="1" ht="15" customHeight="1" x14ac:dyDescent="0.35"/>
    <row r="814" customFormat="1" ht="15" customHeight="1" x14ac:dyDescent="0.35"/>
    <row r="815" customFormat="1" ht="15" customHeight="1" x14ac:dyDescent="0.35"/>
    <row r="816" customFormat="1" ht="15" customHeight="1" x14ac:dyDescent="0.35"/>
    <row r="817" customFormat="1" ht="15" customHeight="1" x14ac:dyDescent="0.35"/>
    <row r="818" customFormat="1" ht="15" customHeight="1" x14ac:dyDescent="0.35"/>
    <row r="819" customFormat="1" ht="15" customHeight="1" x14ac:dyDescent="0.35"/>
    <row r="820" customFormat="1" ht="15" customHeight="1" x14ac:dyDescent="0.35"/>
    <row r="821" customFormat="1" ht="15" customHeight="1" x14ac:dyDescent="0.35"/>
    <row r="822" customFormat="1" ht="15" customHeight="1" x14ac:dyDescent="0.35"/>
    <row r="823" customFormat="1" ht="15" customHeight="1" x14ac:dyDescent="0.35"/>
    <row r="824" customFormat="1" ht="15" customHeight="1" x14ac:dyDescent="0.35"/>
    <row r="825" customFormat="1" ht="15" customHeight="1" x14ac:dyDescent="0.35"/>
    <row r="826" customFormat="1" ht="15" customHeight="1" x14ac:dyDescent="0.35"/>
    <row r="827" customFormat="1" ht="15" customHeight="1" x14ac:dyDescent="0.35"/>
    <row r="828" customFormat="1" ht="15" customHeight="1" x14ac:dyDescent="0.35"/>
    <row r="829" customFormat="1" ht="15" customHeight="1" x14ac:dyDescent="0.35"/>
    <row r="830" customFormat="1" ht="15" customHeight="1" x14ac:dyDescent="0.35"/>
    <row r="831" customFormat="1" ht="15" customHeight="1" x14ac:dyDescent="0.35"/>
    <row r="832" customFormat="1" ht="15" customHeight="1" x14ac:dyDescent="0.35"/>
    <row r="833" customFormat="1" ht="15" customHeight="1" x14ac:dyDescent="0.35"/>
    <row r="834" customFormat="1" ht="15" customHeight="1" x14ac:dyDescent="0.35"/>
    <row r="835" customFormat="1" ht="15" customHeight="1" x14ac:dyDescent="0.35"/>
    <row r="836" customFormat="1" ht="15" customHeight="1" x14ac:dyDescent="0.35"/>
    <row r="837" customFormat="1" ht="15" customHeight="1" x14ac:dyDescent="0.35"/>
    <row r="838" customFormat="1" ht="15" customHeight="1" x14ac:dyDescent="0.35"/>
    <row r="839" customFormat="1" ht="15" customHeight="1" x14ac:dyDescent="0.35"/>
    <row r="840" customFormat="1" ht="15" customHeight="1" x14ac:dyDescent="0.35"/>
    <row r="841" customFormat="1" ht="15" customHeight="1" x14ac:dyDescent="0.35"/>
    <row r="842" customFormat="1" ht="15" customHeight="1" x14ac:dyDescent="0.35"/>
    <row r="843" customFormat="1" ht="15" customHeight="1" x14ac:dyDescent="0.35"/>
    <row r="844" customFormat="1" ht="15" customHeight="1" x14ac:dyDescent="0.35"/>
    <row r="845" customFormat="1" ht="15" customHeight="1" x14ac:dyDescent="0.35"/>
    <row r="846" customFormat="1" ht="15" customHeight="1" x14ac:dyDescent="0.35"/>
    <row r="847" customFormat="1" ht="15" customHeight="1" x14ac:dyDescent="0.35"/>
    <row r="848" customFormat="1" ht="15" customHeight="1" x14ac:dyDescent="0.35"/>
    <row r="849" customFormat="1" ht="15" customHeight="1" x14ac:dyDescent="0.35"/>
    <row r="850" customFormat="1" ht="15" customHeight="1" x14ac:dyDescent="0.35"/>
    <row r="851" customFormat="1" ht="15" customHeight="1" x14ac:dyDescent="0.35"/>
    <row r="852" customFormat="1" ht="15" customHeight="1" x14ac:dyDescent="0.35"/>
    <row r="853" customFormat="1" ht="15" customHeight="1" x14ac:dyDescent="0.35"/>
    <row r="854" customFormat="1" ht="15" customHeight="1" x14ac:dyDescent="0.35"/>
    <row r="855" customFormat="1" ht="15" customHeight="1" x14ac:dyDescent="0.35"/>
    <row r="856" customFormat="1" ht="15" customHeight="1" x14ac:dyDescent="0.35"/>
    <row r="857" customFormat="1" ht="15" customHeight="1" x14ac:dyDescent="0.35"/>
    <row r="858" customFormat="1" ht="15" customHeight="1" x14ac:dyDescent="0.35"/>
    <row r="859" customFormat="1" ht="15" customHeight="1" x14ac:dyDescent="0.35"/>
    <row r="860" customFormat="1" ht="15" customHeight="1" x14ac:dyDescent="0.35"/>
    <row r="861" customFormat="1" ht="15" customHeight="1" x14ac:dyDescent="0.35"/>
    <row r="862" customFormat="1" ht="15" customHeight="1" x14ac:dyDescent="0.35"/>
    <row r="863" customFormat="1" ht="15" customHeight="1" x14ac:dyDescent="0.35"/>
    <row r="864" customFormat="1" ht="15" customHeight="1" x14ac:dyDescent="0.35"/>
    <row r="865" customFormat="1" ht="15" customHeight="1" x14ac:dyDescent="0.35"/>
    <row r="866" customFormat="1" ht="15" customHeight="1" x14ac:dyDescent="0.35"/>
    <row r="867" customFormat="1" ht="15" customHeight="1" x14ac:dyDescent="0.35"/>
    <row r="868" customFormat="1" ht="15" customHeight="1" x14ac:dyDescent="0.35"/>
    <row r="869" customFormat="1" ht="15" customHeight="1" x14ac:dyDescent="0.35"/>
    <row r="870" customFormat="1" ht="15" customHeight="1" x14ac:dyDescent="0.35"/>
    <row r="871" customFormat="1" ht="15" customHeight="1" x14ac:dyDescent="0.35"/>
    <row r="872" customFormat="1" ht="15" customHeight="1" x14ac:dyDescent="0.35"/>
    <row r="873" customFormat="1" ht="15" customHeight="1" x14ac:dyDescent="0.35"/>
    <row r="874" customFormat="1" ht="15" customHeight="1" x14ac:dyDescent="0.35"/>
    <row r="875" customFormat="1" ht="15" customHeight="1" x14ac:dyDescent="0.35"/>
    <row r="876" customFormat="1" ht="15" customHeight="1" x14ac:dyDescent="0.35"/>
    <row r="877" customFormat="1" ht="15" customHeight="1" x14ac:dyDescent="0.35"/>
    <row r="878" customFormat="1" ht="15" customHeight="1" x14ac:dyDescent="0.35"/>
    <row r="879" customFormat="1" ht="15" customHeight="1" x14ac:dyDescent="0.35"/>
    <row r="880" customFormat="1" ht="15" customHeight="1" x14ac:dyDescent="0.35"/>
    <row r="881" customFormat="1" ht="15" customHeight="1" x14ac:dyDescent="0.35"/>
    <row r="882" customFormat="1" ht="15" customHeight="1" x14ac:dyDescent="0.35"/>
    <row r="883" customFormat="1" ht="15" customHeight="1" x14ac:dyDescent="0.35"/>
    <row r="884" customFormat="1" ht="15" customHeight="1" x14ac:dyDescent="0.35"/>
    <row r="885" customFormat="1" ht="15" customHeight="1" x14ac:dyDescent="0.35"/>
    <row r="886" customFormat="1" ht="15" customHeight="1" x14ac:dyDescent="0.35"/>
    <row r="887" customFormat="1" ht="15" customHeight="1" x14ac:dyDescent="0.35"/>
    <row r="888" customFormat="1" ht="15" customHeight="1" x14ac:dyDescent="0.35"/>
    <row r="889" customFormat="1" ht="15" customHeight="1" x14ac:dyDescent="0.35"/>
    <row r="890" customFormat="1" ht="15" customHeight="1" x14ac:dyDescent="0.35"/>
    <row r="891" customFormat="1" ht="15" customHeight="1" x14ac:dyDescent="0.35"/>
    <row r="892" customFormat="1" ht="15" customHeight="1" x14ac:dyDescent="0.35"/>
    <row r="893" customFormat="1" ht="15" customHeight="1" x14ac:dyDescent="0.35"/>
    <row r="894" customFormat="1" ht="15" customHeight="1" x14ac:dyDescent="0.35"/>
    <row r="895" customFormat="1" ht="15" customHeight="1" x14ac:dyDescent="0.35"/>
    <row r="896" customFormat="1" ht="15" customHeight="1" x14ac:dyDescent="0.35"/>
    <row r="897" customFormat="1" ht="15" customHeight="1" x14ac:dyDescent="0.35"/>
    <row r="898" customFormat="1" ht="15" customHeight="1" x14ac:dyDescent="0.35"/>
    <row r="899" customFormat="1" ht="15" customHeight="1" x14ac:dyDescent="0.35"/>
    <row r="900" customFormat="1" ht="15" customHeight="1" x14ac:dyDescent="0.35"/>
    <row r="901" customFormat="1" ht="15" customHeight="1" x14ac:dyDescent="0.35"/>
    <row r="902" customFormat="1" ht="15" customHeight="1" x14ac:dyDescent="0.35"/>
    <row r="903" customFormat="1" ht="15" customHeight="1" x14ac:dyDescent="0.35"/>
    <row r="904" customFormat="1" ht="15" customHeight="1" x14ac:dyDescent="0.35"/>
    <row r="905" customFormat="1" ht="15" customHeight="1" x14ac:dyDescent="0.35"/>
    <row r="906" customFormat="1" ht="15" customHeight="1" x14ac:dyDescent="0.35"/>
    <row r="907" customFormat="1" ht="15" customHeight="1" x14ac:dyDescent="0.35"/>
    <row r="908" customFormat="1" ht="15" customHeight="1" x14ac:dyDescent="0.35"/>
    <row r="909" customFormat="1" ht="15" customHeight="1" x14ac:dyDescent="0.35"/>
    <row r="910" customFormat="1" ht="15" customHeight="1" x14ac:dyDescent="0.35"/>
    <row r="911" customFormat="1" ht="15" customHeight="1" x14ac:dyDescent="0.35"/>
    <row r="912" customFormat="1" ht="15" customHeight="1" x14ac:dyDescent="0.35"/>
    <row r="913" customFormat="1" ht="15" customHeight="1" x14ac:dyDescent="0.35"/>
    <row r="914" customFormat="1" ht="15" customHeight="1" x14ac:dyDescent="0.35"/>
    <row r="915" customFormat="1" ht="15" customHeight="1" x14ac:dyDescent="0.35"/>
    <row r="916" customFormat="1" ht="15" customHeight="1" x14ac:dyDescent="0.35"/>
    <row r="917" customFormat="1" ht="15" customHeight="1" x14ac:dyDescent="0.35"/>
    <row r="918" customFormat="1" ht="15" customHeight="1" x14ac:dyDescent="0.35"/>
    <row r="919" customFormat="1" ht="15" customHeight="1" x14ac:dyDescent="0.35"/>
    <row r="920" customFormat="1" ht="15" customHeight="1" x14ac:dyDescent="0.35"/>
    <row r="921" customFormat="1" ht="15" customHeight="1" x14ac:dyDescent="0.35"/>
    <row r="922" customFormat="1" ht="15" customHeight="1" x14ac:dyDescent="0.35"/>
    <row r="923" customFormat="1" ht="15" customHeight="1" x14ac:dyDescent="0.35"/>
    <row r="924" customFormat="1" ht="15" customHeight="1" x14ac:dyDescent="0.35"/>
    <row r="925" customFormat="1" ht="15" customHeight="1" x14ac:dyDescent="0.35"/>
    <row r="926" customFormat="1" ht="15" customHeight="1" x14ac:dyDescent="0.35"/>
    <row r="927" customFormat="1" ht="15" customHeight="1" x14ac:dyDescent="0.35"/>
    <row r="928" customFormat="1" ht="15" customHeight="1" x14ac:dyDescent="0.35"/>
    <row r="929" customFormat="1" ht="15" customHeight="1" x14ac:dyDescent="0.35"/>
    <row r="930" customFormat="1" ht="15" customHeight="1" x14ac:dyDescent="0.35"/>
    <row r="931" customFormat="1" ht="15" customHeight="1" x14ac:dyDescent="0.35"/>
    <row r="932" customFormat="1" ht="15" customHeight="1" x14ac:dyDescent="0.35"/>
    <row r="933" customFormat="1" ht="15" customHeight="1" x14ac:dyDescent="0.35"/>
    <row r="934" customFormat="1" ht="15" customHeight="1" x14ac:dyDescent="0.35"/>
    <row r="935" customFormat="1" ht="15" customHeight="1" x14ac:dyDescent="0.35"/>
    <row r="936" customFormat="1" ht="15" customHeight="1" x14ac:dyDescent="0.35"/>
    <row r="937" customFormat="1" ht="15" customHeight="1" x14ac:dyDescent="0.35"/>
    <row r="938" customFormat="1" ht="15" customHeight="1" x14ac:dyDescent="0.35"/>
    <row r="939" customFormat="1" ht="15" customHeight="1" x14ac:dyDescent="0.35"/>
    <row r="940" customFormat="1" ht="15" customHeight="1" x14ac:dyDescent="0.35"/>
    <row r="941" customFormat="1" ht="15" customHeight="1" x14ac:dyDescent="0.35"/>
    <row r="942" customFormat="1" ht="15" customHeight="1" x14ac:dyDescent="0.35"/>
    <row r="943" customFormat="1" ht="15" customHeight="1" x14ac:dyDescent="0.35"/>
    <row r="944" customFormat="1" ht="15" customHeight="1" x14ac:dyDescent="0.35"/>
    <row r="945" customFormat="1" ht="15" customHeight="1" x14ac:dyDescent="0.35"/>
    <row r="946" customFormat="1" ht="15" customHeight="1" x14ac:dyDescent="0.35"/>
    <row r="947" customFormat="1" ht="15" customHeight="1" x14ac:dyDescent="0.35"/>
    <row r="948" customFormat="1" ht="15" customHeight="1" x14ac:dyDescent="0.35"/>
    <row r="949" customFormat="1" ht="15" customHeight="1" x14ac:dyDescent="0.35"/>
    <row r="950" customFormat="1" ht="15" customHeight="1" x14ac:dyDescent="0.35"/>
    <row r="951" customFormat="1" ht="15" customHeight="1" x14ac:dyDescent="0.35"/>
    <row r="952" customFormat="1" ht="15" customHeight="1" x14ac:dyDescent="0.35"/>
    <row r="953" customFormat="1" ht="15" customHeight="1" x14ac:dyDescent="0.35"/>
    <row r="954" customFormat="1" ht="15" customHeight="1" x14ac:dyDescent="0.35"/>
    <row r="955" customFormat="1" ht="15" customHeight="1" x14ac:dyDescent="0.35"/>
    <row r="956" customFormat="1" ht="15" customHeight="1" x14ac:dyDescent="0.35"/>
    <row r="957" customFormat="1" ht="15" customHeight="1" x14ac:dyDescent="0.35"/>
    <row r="958" customFormat="1" ht="15" customHeight="1" x14ac:dyDescent="0.35"/>
    <row r="959" customFormat="1" ht="15" customHeight="1" x14ac:dyDescent="0.35"/>
    <row r="960" customFormat="1" ht="15" customHeight="1" x14ac:dyDescent="0.35"/>
    <row r="961" customFormat="1" ht="15" customHeight="1" x14ac:dyDescent="0.35"/>
    <row r="962" customFormat="1" ht="15" customHeight="1" x14ac:dyDescent="0.35"/>
    <row r="963" customFormat="1" ht="15" customHeight="1" x14ac:dyDescent="0.35"/>
    <row r="964" customFormat="1" ht="15" customHeight="1" x14ac:dyDescent="0.35"/>
    <row r="965" customFormat="1" ht="15" customHeight="1" x14ac:dyDescent="0.35"/>
    <row r="966" customFormat="1" ht="15" customHeight="1" x14ac:dyDescent="0.35"/>
    <row r="967" customFormat="1" ht="15" customHeight="1" x14ac:dyDescent="0.35"/>
    <row r="968" customFormat="1" ht="15" customHeight="1" x14ac:dyDescent="0.35"/>
    <row r="969" customFormat="1" ht="15" customHeight="1" x14ac:dyDescent="0.35"/>
    <row r="970" customFormat="1" ht="15" customHeight="1" x14ac:dyDescent="0.35"/>
    <row r="971" customFormat="1" ht="15" customHeight="1" x14ac:dyDescent="0.35"/>
    <row r="972" customFormat="1" ht="15" customHeight="1" x14ac:dyDescent="0.35"/>
    <row r="973" customFormat="1" ht="15" customHeight="1" x14ac:dyDescent="0.35"/>
    <row r="974" customFormat="1" ht="15" customHeight="1" x14ac:dyDescent="0.35"/>
    <row r="975" customFormat="1" ht="15" customHeight="1" x14ac:dyDescent="0.35"/>
    <row r="976" customFormat="1" ht="15" customHeight="1" x14ac:dyDescent="0.35"/>
    <row r="977" customFormat="1" ht="15" customHeight="1" x14ac:dyDescent="0.35"/>
    <row r="978" customFormat="1" ht="15" customHeight="1" x14ac:dyDescent="0.35"/>
    <row r="979" customFormat="1" ht="15" customHeight="1" x14ac:dyDescent="0.35"/>
    <row r="980" customFormat="1" ht="15" customHeight="1" x14ac:dyDescent="0.35"/>
    <row r="981" customFormat="1" ht="15" customHeight="1" x14ac:dyDescent="0.35"/>
    <row r="982" customFormat="1" ht="15" customHeight="1" x14ac:dyDescent="0.35"/>
    <row r="983" customFormat="1" ht="15" customHeight="1" x14ac:dyDescent="0.35"/>
    <row r="984" customFormat="1" ht="15" customHeight="1" x14ac:dyDescent="0.35"/>
    <row r="985" customFormat="1" ht="15" customHeight="1" x14ac:dyDescent="0.35"/>
    <row r="986" customFormat="1" ht="15" customHeight="1" x14ac:dyDescent="0.35"/>
    <row r="987" customFormat="1" ht="15" customHeight="1" x14ac:dyDescent="0.35"/>
    <row r="988" customFormat="1" ht="15" customHeight="1" x14ac:dyDescent="0.35"/>
    <row r="989" customFormat="1" ht="15" customHeight="1" x14ac:dyDescent="0.35"/>
    <row r="990" customFormat="1" ht="15" customHeight="1" x14ac:dyDescent="0.35"/>
    <row r="991" customFormat="1" ht="15" customHeight="1" x14ac:dyDescent="0.35"/>
    <row r="992" customFormat="1" ht="15" customHeight="1" x14ac:dyDescent="0.35"/>
    <row r="993" customFormat="1" ht="15" customHeight="1" x14ac:dyDescent="0.35"/>
    <row r="994" customFormat="1" ht="15" customHeight="1" x14ac:dyDescent="0.35"/>
    <row r="995" customFormat="1" ht="15" customHeight="1" x14ac:dyDescent="0.35"/>
    <row r="996" customFormat="1" ht="15" customHeight="1" x14ac:dyDescent="0.35"/>
    <row r="997" customFormat="1" ht="15" customHeight="1" x14ac:dyDescent="0.35"/>
    <row r="998" customFormat="1" ht="15" customHeight="1" x14ac:dyDescent="0.35"/>
    <row r="999" customFormat="1" ht="15" customHeight="1" x14ac:dyDescent="0.35"/>
    <row r="1000" customFormat="1" ht="15" customHeight="1" x14ac:dyDescent="0.35"/>
    <row r="1001" customFormat="1" ht="15" customHeight="1" x14ac:dyDescent="0.35"/>
    <row r="1002" customFormat="1" ht="15" customHeight="1" x14ac:dyDescent="0.35"/>
    <row r="1003" customFormat="1" ht="15" customHeight="1" x14ac:dyDescent="0.35"/>
    <row r="1004" customFormat="1" ht="15" customHeight="1" x14ac:dyDescent="0.35"/>
    <row r="1005" customFormat="1" ht="15" customHeight="1" x14ac:dyDescent="0.35"/>
    <row r="1006" customFormat="1" ht="15" customHeight="1" x14ac:dyDescent="0.35"/>
    <row r="1007" customFormat="1" ht="15" customHeight="1" x14ac:dyDescent="0.35"/>
    <row r="1008" customFormat="1" ht="15" customHeight="1" x14ac:dyDescent="0.35"/>
    <row r="1009" customFormat="1" ht="15" customHeight="1" x14ac:dyDescent="0.35"/>
    <row r="1010" customFormat="1" ht="15" customHeight="1" x14ac:dyDescent="0.35"/>
    <row r="1011" customFormat="1" ht="15" customHeight="1" x14ac:dyDescent="0.35"/>
    <row r="1012" customFormat="1" ht="15" customHeight="1" x14ac:dyDescent="0.35"/>
    <row r="1013" customFormat="1" ht="15" customHeight="1" x14ac:dyDescent="0.35"/>
    <row r="1014" customFormat="1" ht="15" customHeight="1" x14ac:dyDescent="0.35"/>
    <row r="1015" customFormat="1" ht="15" customHeight="1" x14ac:dyDescent="0.35"/>
    <row r="1016" customFormat="1" ht="15" customHeight="1" x14ac:dyDescent="0.35"/>
    <row r="1017" customFormat="1" ht="15" customHeight="1" x14ac:dyDescent="0.35"/>
    <row r="1018" customFormat="1" ht="15" customHeight="1" x14ac:dyDescent="0.35"/>
    <row r="1019" customFormat="1" ht="15" customHeight="1" x14ac:dyDescent="0.35"/>
    <row r="1020" customFormat="1" ht="15" customHeight="1" x14ac:dyDescent="0.35"/>
    <row r="1021" customFormat="1" ht="15" customHeight="1" x14ac:dyDescent="0.35"/>
    <row r="1022" customFormat="1" ht="15" customHeight="1" x14ac:dyDescent="0.35"/>
    <row r="1023" customFormat="1" ht="15" customHeight="1" x14ac:dyDescent="0.35"/>
    <row r="1024" customFormat="1" ht="15" customHeight="1" x14ac:dyDescent="0.35"/>
    <row r="1025" customFormat="1" ht="15" customHeight="1" x14ac:dyDescent="0.35"/>
    <row r="1026" customFormat="1" ht="15" customHeight="1" x14ac:dyDescent="0.35"/>
    <row r="1027" customFormat="1" ht="15" customHeight="1" x14ac:dyDescent="0.35"/>
    <row r="1028" customFormat="1" ht="15" customHeight="1" x14ac:dyDescent="0.35"/>
    <row r="1029" customFormat="1" ht="15" customHeight="1" x14ac:dyDescent="0.35"/>
    <row r="1030" customFormat="1" ht="15" customHeight="1" x14ac:dyDescent="0.35"/>
    <row r="1031" customFormat="1" ht="15" customHeight="1" x14ac:dyDescent="0.35"/>
    <row r="1032" customFormat="1" ht="15" customHeight="1" x14ac:dyDescent="0.35"/>
    <row r="1033" customFormat="1" ht="15" customHeight="1" x14ac:dyDescent="0.35"/>
    <row r="1034" customFormat="1" ht="15" customHeight="1" x14ac:dyDescent="0.35"/>
    <row r="1035" customFormat="1" ht="15" customHeight="1" x14ac:dyDescent="0.35"/>
    <row r="1036" customFormat="1" ht="15" customHeight="1" x14ac:dyDescent="0.35"/>
    <row r="1037" customFormat="1" ht="15" customHeight="1" x14ac:dyDescent="0.35"/>
    <row r="1038" customFormat="1" ht="15" customHeight="1" x14ac:dyDescent="0.35"/>
    <row r="1039" customFormat="1" ht="15" customHeight="1" x14ac:dyDescent="0.35"/>
    <row r="1040" customFormat="1" ht="15" customHeight="1" x14ac:dyDescent="0.35"/>
    <row r="1041" customFormat="1" ht="15" customHeight="1" x14ac:dyDescent="0.35"/>
    <row r="1042" customFormat="1" ht="15" customHeight="1" x14ac:dyDescent="0.35"/>
    <row r="1043" customFormat="1" ht="15" customHeight="1" x14ac:dyDescent="0.35"/>
    <row r="1044" customFormat="1" ht="15" customHeight="1" x14ac:dyDescent="0.35"/>
    <row r="1045" customFormat="1" ht="15" customHeight="1" x14ac:dyDescent="0.35"/>
    <row r="1046" customFormat="1" ht="15" customHeight="1" x14ac:dyDescent="0.35"/>
    <row r="1047" customFormat="1" ht="15" customHeight="1" x14ac:dyDescent="0.35"/>
    <row r="1048" customFormat="1" ht="15" customHeight="1" x14ac:dyDescent="0.35"/>
    <row r="1049" customFormat="1" ht="15" customHeight="1" x14ac:dyDescent="0.35"/>
    <row r="1050" customFormat="1" ht="15" customHeight="1" x14ac:dyDescent="0.35"/>
    <row r="1051" customFormat="1" ht="15" customHeight="1" x14ac:dyDescent="0.35"/>
    <row r="1052" customFormat="1" ht="15" customHeight="1" x14ac:dyDescent="0.35"/>
    <row r="1053" customFormat="1" ht="15" customHeight="1" x14ac:dyDescent="0.35"/>
    <row r="1054" customFormat="1" ht="15" customHeight="1" x14ac:dyDescent="0.35"/>
    <row r="1055" customFormat="1" ht="15" customHeight="1" x14ac:dyDescent="0.35"/>
    <row r="1056" customFormat="1" ht="15" customHeight="1" x14ac:dyDescent="0.35"/>
    <row r="1057" customFormat="1" ht="15" customHeight="1" x14ac:dyDescent="0.35"/>
    <row r="1058" customFormat="1" ht="15" customHeight="1" x14ac:dyDescent="0.35"/>
    <row r="1059" customFormat="1" ht="15" customHeight="1" x14ac:dyDescent="0.35"/>
    <row r="1060" customFormat="1" ht="15" customHeight="1" x14ac:dyDescent="0.35"/>
    <row r="1061" customFormat="1" ht="15" customHeight="1" x14ac:dyDescent="0.35"/>
    <row r="1062" customFormat="1" ht="15" customHeight="1" x14ac:dyDescent="0.35"/>
    <row r="1063" customFormat="1" ht="15" customHeight="1" x14ac:dyDescent="0.35"/>
    <row r="1064" customFormat="1" ht="15" customHeight="1" x14ac:dyDescent="0.35"/>
    <row r="1065" customFormat="1" ht="15" customHeight="1" x14ac:dyDescent="0.35"/>
    <row r="1066" customFormat="1" ht="15" customHeight="1" x14ac:dyDescent="0.35"/>
    <row r="1067" customFormat="1" ht="15" customHeight="1" x14ac:dyDescent="0.35"/>
    <row r="1068" customFormat="1" ht="15" customHeight="1" x14ac:dyDescent="0.35"/>
    <row r="1069" customFormat="1" ht="15" customHeight="1" x14ac:dyDescent="0.35"/>
    <row r="1070" customFormat="1" ht="15" customHeight="1" x14ac:dyDescent="0.35"/>
    <row r="1071" customFormat="1" ht="15" customHeight="1" x14ac:dyDescent="0.35"/>
    <row r="1072" customFormat="1" ht="15" customHeight="1" x14ac:dyDescent="0.35"/>
    <row r="1073" customFormat="1" ht="15" customHeight="1" x14ac:dyDescent="0.35"/>
    <row r="1074" customFormat="1" ht="15" customHeight="1" x14ac:dyDescent="0.35"/>
    <row r="1075" customFormat="1" ht="15" customHeight="1" x14ac:dyDescent="0.35"/>
    <row r="1076" customFormat="1" ht="15" customHeight="1" x14ac:dyDescent="0.35"/>
    <row r="1077" customFormat="1" ht="15" customHeight="1" x14ac:dyDescent="0.35"/>
    <row r="1078" customFormat="1" ht="15" customHeight="1" x14ac:dyDescent="0.35"/>
    <row r="1079" customFormat="1" ht="15" customHeight="1" x14ac:dyDescent="0.35"/>
    <row r="1080" customFormat="1" ht="15" customHeight="1" x14ac:dyDescent="0.35"/>
    <row r="1081" customFormat="1" ht="15" customHeight="1" x14ac:dyDescent="0.35"/>
    <row r="1082" customFormat="1" ht="15" customHeight="1" x14ac:dyDescent="0.35"/>
    <row r="1083" customFormat="1" ht="15" customHeight="1" x14ac:dyDescent="0.35"/>
    <row r="1084" customFormat="1" ht="15" customHeight="1" x14ac:dyDescent="0.35"/>
    <row r="1085" customFormat="1" ht="15" customHeight="1" x14ac:dyDescent="0.35"/>
    <row r="1086" customFormat="1" ht="15" customHeight="1" x14ac:dyDescent="0.35"/>
    <row r="1087" customFormat="1" ht="15" customHeight="1" x14ac:dyDescent="0.35"/>
    <row r="1088" customFormat="1" ht="15" customHeight="1" x14ac:dyDescent="0.35"/>
    <row r="1089" customFormat="1" ht="15" customHeight="1" x14ac:dyDescent="0.35"/>
    <row r="1090" customFormat="1" ht="15" customHeight="1" x14ac:dyDescent="0.35"/>
    <row r="1091" customFormat="1" ht="15" customHeight="1" x14ac:dyDescent="0.35"/>
    <row r="1092" customFormat="1" ht="15" customHeight="1" x14ac:dyDescent="0.35"/>
    <row r="1093" customFormat="1" ht="15" customHeight="1" x14ac:dyDescent="0.35"/>
    <row r="1094" customFormat="1" ht="15" customHeight="1" x14ac:dyDescent="0.35"/>
    <row r="1095" customFormat="1" ht="15" customHeight="1" x14ac:dyDescent="0.35"/>
    <row r="1096" customFormat="1" ht="15" customHeight="1" x14ac:dyDescent="0.35"/>
    <row r="1097" customFormat="1" ht="15" customHeight="1" x14ac:dyDescent="0.35"/>
    <row r="1098" customFormat="1" ht="15" customHeight="1" x14ac:dyDescent="0.35"/>
    <row r="1099" customFormat="1" ht="15" customHeight="1" x14ac:dyDescent="0.35"/>
    <row r="1100" customFormat="1" ht="15" customHeight="1" x14ac:dyDescent="0.35"/>
    <row r="1101" customFormat="1" ht="15" customHeight="1" x14ac:dyDescent="0.35"/>
    <row r="1102" customFormat="1" ht="15" customHeight="1" x14ac:dyDescent="0.35"/>
    <row r="1103" customFormat="1" ht="15" customHeight="1" x14ac:dyDescent="0.35"/>
    <row r="1104" customFormat="1" ht="15" customHeight="1" x14ac:dyDescent="0.35"/>
    <row r="1105" customFormat="1" ht="15" customHeight="1" x14ac:dyDescent="0.35"/>
    <row r="1106" customFormat="1" ht="15" customHeight="1" x14ac:dyDescent="0.35"/>
    <row r="1107" customFormat="1" ht="15" customHeight="1" x14ac:dyDescent="0.35"/>
    <row r="1108" customFormat="1" ht="15" customHeight="1" x14ac:dyDescent="0.35"/>
    <row r="1109" customFormat="1" ht="15" customHeight="1" x14ac:dyDescent="0.35"/>
    <row r="1110" customFormat="1" ht="15" customHeight="1" x14ac:dyDescent="0.35"/>
    <row r="1111" customFormat="1" ht="15" customHeight="1" x14ac:dyDescent="0.35"/>
    <row r="1112" customFormat="1" ht="15" customHeight="1" x14ac:dyDescent="0.35"/>
    <row r="1113" customFormat="1" ht="15" customHeight="1" x14ac:dyDescent="0.35"/>
    <row r="1114" customFormat="1" ht="15" customHeight="1" x14ac:dyDescent="0.35"/>
    <row r="1115" customFormat="1" ht="15" customHeight="1" x14ac:dyDescent="0.35"/>
    <row r="1116" customFormat="1" ht="15" customHeight="1" x14ac:dyDescent="0.35"/>
    <row r="1117" customFormat="1" ht="15" customHeight="1" x14ac:dyDescent="0.35"/>
    <row r="1118" customFormat="1" ht="15" customHeight="1" x14ac:dyDescent="0.35"/>
    <row r="1119" customFormat="1" ht="15" customHeight="1" x14ac:dyDescent="0.35"/>
    <row r="1120" customFormat="1" ht="15" customHeight="1" x14ac:dyDescent="0.35"/>
    <row r="1121" customFormat="1" ht="15" customHeight="1" x14ac:dyDescent="0.35"/>
    <row r="1122" customFormat="1" ht="15" customHeight="1" x14ac:dyDescent="0.35"/>
    <row r="1123" customFormat="1" ht="15" customHeight="1" x14ac:dyDescent="0.35"/>
    <row r="1124" customFormat="1" ht="15" customHeight="1" x14ac:dyDescent="0.35"/>
    <row r="1125" customFormat="1" ht="15" customHeight="1" x14ac:dyDescent="0.35"/>
    <row r="1126" customFormat="1" ht="15" customHeight="1" x14ac:dyDescent="0.35"/>
    <row r="1127" customFormat="1" ht="15" customHeight="1" x14ac:dyDescent="0.35"/>
    <row r="1128" customFormat="1" ht="15" customHeight="1" x14ac:dyDescent="0.35"/>
    <row r="1129" customFormat="1" ht="15" customHeight="1" x14ac:dyDescent="0.35"/>
    <row r="1130" customFormat="1" ht="15" customHeight="1" x14ac:dyDescent="0.35"/>
    <row r="1131" customFormat="1" ht="15" customHeight="1" x14ac:dyDescent="0.35"/>
    <row r="1132" customFormat="1" ht="15" customHeight="1" x14ac:dyDescent="0.35"/>
    <row r="1133" customFormat="1" ht="15" customHeight="1" x14ac:dyDescent="0.35"/>
    <row r="1134" customFormat="1" ht="15" customHeight="1" x14ac:dyDescent="0.35"/>
    <row r="1135" customFormat="1" ht="15" customHeight="1" x14ac:dyDescent="0.35"/>
    <row r="1136" customFormat="1" ht="15" customHeight="1" x14ac:dyDescent="0.35"/>
    <row r="1137" customFormat="1" ht="15" customHeight="1" x14ac:dyDescent="0.35"/>
    <row r="1138" customFormat="1" ht="15" customHeight="1" x14ac:dyDescent="0.35"/>
    <row r="1139" customFormat="1" ht="15" customHeight="1" x14ac:dyDescent="0.35"/>
    <row r="1140" customFormat="1" ht="15" customHeight="1" x14ac:dyDescent="0.35"/>
    <row r="1141" customFormat="1" ht="15" customHeight="1" x14ac:dyDescent="0.35"/>
    <row r="1142" customFormat="1" ht="15" customHeight="1" x14ac:dyDescent="0.35"/>
    <row r="1143" customFormat="1" ht="15" customHeight="1" x14ac:dyDescent="0.35"/>
    <row r="1144" customFormat="1" ht="15" customHeight="1" x14ac:dyDescent="0.35"/>
    <row r="1145" customFormat="1" ht="15" customHeight="1" x14ac:dyDescent="0.35"/>
    <row r="1146" customFormat="1" ht="15" customHeight="1" x14ac:dyDescent="0.35"/>
    <row r="1147" customFormat="1" ht="15" customHeight="1" x14ac:dyDescent="0.35"/>
    <row r="1148" customFormat="1" ht="15" customHeight="1" x14ac:dyDescent="0.35"/>
    <row r="1149" customFormat="1" ht="15" customHeight="1" x14ac:dyDescent="0.35"/>
    <row r="1150" customFormat="1" ht="15" customHeight="1" x14ac:dyDescent="0.35"/>
    <row r="1151" customFormat="1" ht="15" customHeight="1" x14ac:dyDescent="0.35"/>
    <row r="1152" customFormat="1" ht="15" customHeight="1" x14ac:dyDescent="0.35"/>
    <row r="1153" customFormat="1" ht="15" customHeight="1" x14ac:dyDescent="0.35"/>
    <row r="1154" customFormat="1" ht="15" customHeight="1" x14ac:dyDescent="0.35"/>
    <row r="1155" customFormat="1" ht="15" customHeight="1" x14ac:dyDescent="0.35"/>
    <row r="1156" customFormat="1" ht="15" customHeight="1" x14ac:dyDescent="0.35"/>
    <row r="1157" customFormat="1" ht="15" customHeight="1" x14ac:dyDescent="0.35"/>
    <row r="1158" customFormat="1" ht="15" customHeight="1" x14ac:dyDescent="0.35"/>
    <row r="1159" customFormat="1" ht="15" customHeight="1" x14ac:dyDescent="0.35"/>
    <row r="1160" customFormat="1" ht="15" customHeight="1" x14ac:dyDescent="0.35"/>
    <row r="1161" customFormat="1" ht="15" customHeight="1" x14ac:dyDescent="0.35"/>
    <row r="1162" customFormat="1" ht="15" customHeight="1" x14ac:dyDescent="0.35"/>
    <row r="1163" customFormat="1" ht="15" customHeight="1" x14ac:dyDescent="0.35"/>
    <row r="1164" customFormat="1" ht="15" customHeight="1" x14ac:dyDescent="0.35"/>
    <row r="1165" customFormat="1" ht="15" customHeight="1" x14ac:dyDescent="0.35"/>
    <row r="1166" customFormat="1" ht="15" customHeight="1" x14ac:dyDescent="0.35"/>
    <row r="1167" customFormat="1" ht="15" customHeight="1" x14ac:dyDescent="0.35"/>
    <row r="1168" customFormat="1" ht="15" customHeight="1" x14ac:dyDescent="0.35"/>
    <row r="1169" customFormat="1" ht="15" customHeight="1" x14ac:dyDescent="0.35"/>
    <row r="1170" customFormat="1" ht="15" customHeight="1" x14ac:dyDescent="0.35"/>
    <row r="1171" customFormat="1" ht="15" customHeight="1" x14ac:dyDescent="0.35"/>
    <row r="1172" customFormat="1" ht="15" customHeight="1" x14ac:dyDescent="0.35"/>
    <row r="1173" customFormat="1" ht="15" customHeight="1" x14ac:dyDescent="0.35"/>
    <row r="1174" customFormat="1" ht="15" customHeight="1" x14ac:dyDescent="0.35"/>
    <row r="1175" customFormat="1" ht="15" customHeight="1" x14ac:dyDescent="0.35"/>
    <row r="1176" customFormat="1" ht="15" customHeight="1" x14ac:dyDescent="0.35"/>
    <row r="1177" customFormat="1" ht="15" customHeight="1" x14ac:dyDescent="0.35"/>
    <row r="1178" customFormat="1" ht="15" customHeight="1" x14ac:dyDescent="0.35"/>
    <row r="1179" customFormat="1" ht="15" customHeight="1" x14ac:dyDescent="0.35"/>
    <row r="1180" customFormat="1" ht="15" customHeight="1" x14ac:dyDescent="0.35"/>
    <row r="1181" customFormat="1" ht="15" customHeight="1" x14ac:dyDescent="0.35"/>
    <row r="1182" customFormat="1" ht="15" customHeight="1" x14ac:dyDescent="0.35"/>
    <row r="1183" customFormat="1" ht="15" customHeight="1" x14ac:dyDescent="0.35"/>
    <row r="1184" customFormat="1" ht="15" customHeight="1" x14ac:dyDescent="0.35"/>
    <row r="1185" customFormat="1" ht="15" customHeight="1" x14ac:dyDescent="0.35"/>
    <row r="1186" customFormat="1" ht="15" customHeight="1" x14ac:dyDescent="0.35"/>
    <row r="1187" customFormat="1" ht="15" customHeight="1" x14ac:dyDescent="0.35"/>
    <row r="1188" customFormat="1" ht="15" customHeight="1" x14ac:dyDescent="0.35"/>
    <row r="1189" customFormat="1" ht="15" customHeight="1" x14ac:dyDescent="0.35"/>
    <row r="1190" customFormat="1" ht="15" customHeight="1" x14ac:dyDescent="0.35"/>
    <row r="1191" customFormat="1" ht="15" customHeight="1" x14ac:dyDescent="0.35"/>
    <row r="1192" customFormat="1" ht="15" customHeight="1" x14ac:dyDescent="0.35"/>
    <row r="1193" customFormat="1" ht="15" customHeight="1" x14ac:dyDescent="0.35"/>
    <row r="1194" customFormat="1" ht="15" customHeight="1" x14ac:dyDescent="0.35"/>
    <row r="1195" customFormat="1" ht="15" customHeight="1" x14ac:dyDescent="0.35"/>
    <row r="1196" customFormat="1" ht="15" customHeight="1" x14ac:dyDescent="0.35"/>
    <row r="1197" customFormat="1" ht="15" customHeight="1" x14ac:dyDescent="0.35"/>
    <row r="1198" customFormat="1" ht="15" customHeight="1" x14ac:dyDescent="0.35"/>
    <row r="1199" customFormat="1" ht="15" customHeight="1" x14ac:dyDescent="0.35"/>
    <row r="1200" customFormat="1" ht="15" customHeight="1" x14ac:dyDescent="0.35"/>
    <row r="1201" customFormat="1" ht="15" customHeight="1" x14ac:dyDescent="0.35"/>
    <row r="1202" customFormat="1" ht="15" customHeight="1" x14ac:dyDescent="0.35"/>
    <row r="1203" customFormat="1" ht="15" customHeight="1" x14ac:dyDescent="0.35"/>
    <row r="1204" customFormat="1" ht="15" customHeight="1" x14ac:dyDescent="0.35"/>
    <row r="1205" customFormat="1" ht="15" customHeight="1" x14ac:dyDescent="0.35"/>
    <row r="1206" customFormat="1" ht="15" customHeight="1" x14ac:dyDescent="0.35"/>
    <row r="1207" customFormat="1" ht="15" customHeight="1" x14ac:dyDescent="0.35"/>
    <row r="1208" customFormat="1" ht="15" customHeight="1" x14ac:dyDescent="0.35"/>
    <row r="1209" customFormat="1" ht="15" customHeight="1" x14ac:dyDescent="0.35"/>
    <row r="1210" customFormat="1" ht="15" customHeight="1" x14ac:dyDescent="0.35"/>
    <row r="1211" customFormat="1" ht="15" customHeight="1" x14ac:dyDescent="0.35"/>
    <row r="1212" customFormat="1" ht="15" customHeight="1" x14ac:dyDescent="0.35"/>
    <row r="1213" customFormat="1" ht="15" customHeight="1" x14ac:dyDescent="0.35"/>
    <row r="1214" customFormat="1" ht="15" customHeight="1" x14ac:dyDescent="0.35"/>
    <row r="1215" customFormat="1" ht="15" customHeight="1" x14ac:dyDescent="0.35"/>
    <row r="1216" customFormat="1" ht="15" customHeight="1" x14ac:dyDescent="0.35"/>
    <row r="1217" customFormat="1" ht="15" customHeight="1" x14ac:dyDescent="0.35"/>
    <row r="1218" customFormat="1" ht="15" customHeight="1" x14ac:dyDescent="0.35"/>
    <row r="1219" customFormat="1" ht="15" customHeight="1" x14ac:dyDescent="0.35"/>
    <row r="1220" customFormat="1" ht="15" customHeight="1" x14ac:dyDescent="0.35"/>
    <row r="1221" customFormat="1" ht="15" customHeight="1" x14ac:dyDescent="0.35"/>
    <row r="1222" customFormat="1" ht="15" customHeight="1" x14ac:dyDescent="0.35"/>
    <row r="1223" customFormat="1" ht="15" customHeight="1" x14ac:dyDescent="0.35"/>
    <row r="1224" customFormat="1" ht="15" customHeight="1" x14ac:dyDescent="0.35"/>
    <row r="1225" customFormat="1" ht="15" customHeight="1" x14ac:dyDescent="0.35"/>
    <row r="1226" customFormat="1" ht="15" customHeight="1" x14ac:dyDescent="0.35"/>
    <row r="1227" customFormat="1" ht="15" customHeight="1" x14ac:dyDescent="0.35"/>
    <row r="1228" customFormat="1" ht="15" customHeight="1" x14ac:dyDescent="0.35"/>
    <row r="1229" customFormat="1" ht="15" customHeight="1" x14ac:dyDescent="0.35"/>
    <row r="1230" customFormat="1" ht="15" customHeight="1" x14ac:dyDescent="0.35"/>
    <row r="1231" customFormat="1" ht="15" customHeight="1" x14ac:dyDescent="0.35"/>
    <row r="1232" customFormat="1" ht="15" customHeight="1" x14ac:dyDescent="0.35"/>
    <row r="1233" customFormat="1" ht="15" customHeight="1" x14ac:dyDescent="0.35"/>
    <row r="1234" customFormat="1" ht="15" customHeight="1" x14ac:dyDescent="0.35"/>
    <row r="1235" customFormat="1" ht="15" customHeight="1" x14ac:dyDescent="0.35"/>
    <row r="1236" customFormat="1" ht="15" customHeight="1" x14ac:dyDescent="0.35"/>
    <row r="1237" customFormat="1" ht="15" customHeight="1" x14ac:dyDescent="0.35"/>
    <row r="1238" customFormat="1" ht="15" customHeight="1" x14ac:dyDescent="0.35"/>
    <row r="1239" customFormat="1" ht="15" customHeight="1" x14ac:dyDescent="0.35"/>
    <row r="1240" customFormat="1" ht="15" customHeight="1" x14ac:dyDescent="0.35"/>
    <row r="1241" customFormat="1" ht="15" customHeight="1" x14ac:dyDescent="0.35"/>
    <row r="1242" customFormat="1" ht="15" customHeight="1" x14ac:dyDescent="0.35"/>
    <row r="1243" customFormat="1" ht="15" customHeight="1" x14ac:dyDescent="0.35"/>
    <row r="1244" customFormat="1" ht="15" customHeight="1" x14ac:dyDescent="0.35"/>
    <row r="1245" customFormat="1" ht="15" customHeight="1" x14ac:dyDescent="0.35"/>
    <row r="1246" customFormat="1" ht="15" customHeight="1" x14ac:dyDescent="0.35"/>
    <row r="1247" customFormat="1" ht="15" customHeight="1" x14ac:dyDescent="0.35"/>
    <row r="1248" customFormat="1" ht="15" customHeight="1" x14ac:dyDescent="0.35"/>
    <row r="1249" customFormat="1" ht="15" customHeight="1" x14ac:dyDescent="0.35"/>
    <row r="1250" customFormat="1" ht="15" customHeight="1" x14ac:dyDescent="0.35"/>
    <row r="1251" customFormat="1" ht="15" customHeight="1" x14ac:dyDescent="0.35"/>
    <row r="1252" customFormat="1" ht="15" customHeight="1" x14ac:dyDescent="0.35"/>
    <row r="1253" customFormat="1" ht="15" customHeight="1" x14ac:dyDescent="0.35"/>
    <row r="1254" customFormat="1" ht="15" customHeight="1" x14ac:dyDescent="0.35"/>
    <row r="1255" customFormat="1" ht="15" customHeight="1" x14ac:dyDescent="0.35"/>
    <row r="1256" customFormat="1" ht="15" customHeight="1" x14ac:dyDescent="0.35"/>
    <row r="1257" customFormat="1" ht="15" customHeight="1" x14ac:dyDescent="0.35"/>
    <row r="1258" customFormat="1" ht="15" customHeight="1" x14ac:dyDescent="0.35"/>
    <row r="1259" customFormat="1" ht="15" customHeight="1" x14ac:dyDescent="0.35"/>
    <row r="1260" customFormat="1" ht="15" customHeight="1" x14ac:dyDescent="0.35"/>
    <row r="1261" customFormat="1" ht="15" customHeight="1" x14ac:dyDescent="0.35"/>
    <row r="1262" customFormat="1" ht="15" customHeight="1" x14ac:dyDescent="0.35"/>
    <row r="1263" customFormat="1" ht="15" customHeight="1" x14ac:dyDescent="0.35"/>
    <row r="1264" customFormat="1" ht="15" customHeight="1" x14ac:dyDescent="0.35"/>
    <row r="1265" customFormat="1" ht="15" customHeight="1" x14ac:dyDescent="0.35"/>
    <row r="1266" customFormat="1" ht="15" customHeight="1" x14ac:dyDescent="0.35"/>
    <row r="1267" customFormat="1" ht="15" customHeight="1" x14ac:dyDescent="0.35"/>
    <row r="1268" customFormat="1" ht="15" customHeight="1" x14ac:dyDescent="0.35"/>
    <row r="1269" customFormat="1" ht="15" customHeight="1" x14ac:dyDescent="0.35"/>
    <row r="1270" customFormat="1" ht="15" customHeight="1" x14ac:dyDescent="0.35"/>
    <row r="1271" customFormat="1" ht="15" customHeight="1" x14ac:dyDescent="0.35"/>
    <row r="1272" customFormat="1" ht="15" customHeight="1" x14ac:dyDescent="0.35"/>
    <row r="1273" customFormat="1" ht="15" customHeight="1" x14ac:dyDescent="0.35"/>
    <row r="1274" customFormat="1" ht="15" customHeight="1" x14ac:dyDescent="0.35"/>
    <row r="1275" customFormat="1" ht="15" customHeight="1" x14ac:dyDescent="0.35"/>
    <row r="1276" customFormat="1" ht="15" customHeight="1" x14ac:dyDescent="0.35"/>
    <row r="1277" customFormat="1" ht="15" customHeight="1" x14ac:dyDescent="0.35"/>
    <row r="1278" customFormat="1" ht="15" customHeight="1" x14ac:dyDescent="0.35"/>
    <row r="1279" customFormat="1" ht="15" customHeight="1" x14ac:dyDescent="0.35"/>
    <row r="1280" customFormat="1" ht="15" customHeight="1" x14ac:dyDescent="0.35"/>
    <row r="1281" customFormat="1" ht="15" customHeight="1" x14ac:dyDescent="0.35"/>
    <row r="1282" customFormat="1" ht="15" customHeight="1" x14ac:dyDescent="0.35"/>
    <row r="1283" customFormat="1" ht="15" customHeight="1" x14ac:dyDescent="0.35"/>
    <row r="1284" customFormat="1" ht="15" customHeight="1" x14ac:dyDescent="0.35"/>
    <row r="1285" customFormat="1" ht="15" customHeight="1" x14ac:dyDescent="0.35"/>
    <row r="1286" customFormat="1" ht="15" customHeight="1" x14ac:dyDescent="0.35"/>
    <row r="1287" customFormat="1" ht="15" customHeight="1" x14ac:dyDescent="0.35"/>
    <row r="1288" customFormat="1" ht="15" customHeight="1" x14ac:dyDescent="0.35"/>
    <row r="1289" customFormat="1" ht="15" customHeight="1" x14ac:dyDescent="0.35"/>
    <row r="1290" customFormat="1" ht="15" customHeight="1" x14ac:dyDescent="0.35"/>
    <row r="1291" customFormat="1" ht="15" customHeight="1" x14ac:dyDescent="0.35"/>
    <row r="1292" customFormat="1" ht="15" customHeight="1" x14ac:dyDescent="0.35"/>
    <row r="1293" customFormat="1" ht="15" customHeight="1" x14ac:dyDescent="0.35"/>
    <row r="1294" customFormat="1" ht="15" customHeight="1" x14ac:dyDescent="0.35"/>
    <row r="1295" customFormat="1" ht="15" customHeight="1" x14ac:dyDescent="0.35"/>
    <row r="1296" customFormat="1" ht="15" customHeight="1" x14ac:dyDescent="0.35"/>
    <row r="1297" customFormat="1" ht="15" customHeight="1" x14ac:dyDescent="0.35"/>
    <row r="1298" customFormat="1" ht="15" customHeight="1" x14ac:dyDescent="0.35"/>
    <row r="1299" customFormat="1" ht="15" customHeight="1" x14ac:dyDescent="0.35"/>
    <row r="1300" customFormat="1" ht="15" customHeight="1" x14ac:dyDescent="0.35"/>
    <row r="1301" customFormat="1" ht="15" customHeight="1" x14ac:dyDescent="0.35"/>
    <row r="1302" customFormat="1" ht="15" customHeight="1" x14ac:dyDescent="0.35"/>
    <row r="1303" customFormat="1" ht="15" customHeight="1" x14ac:dyDescent="0.35"/>
    <row r="1304" customFormat="1" ht="15" customHeight="1" x14ac:dyDescent="0.35"/>
    <row r="1305" customFormat="1" ht="15" customHeight="1" x14ac:dyDescent="0.35"/>
    <row r="1306" customFormat="1" ht="15" customHeight="1" x14ac:dyDescent="0.35"/>
    <row r="1307" customFormat="1" ht="15" customHeight="1" x14ac:dyDescent="0.35"/>
    <row r="1308" customFormat="1" ht="15" customHeight="1" x14ac:dyDescent="0.35"/>
    <row r="1309" customFormat="1" ht="15" customHeight="1" x14ac:dyDescent="0.35"/>
    <row r="1310" customFormat="1" ht="15" customHeight="1" x14ac:dyDescent="0.35"/>
    <row r="1311" customFormat="1" ht="15" customHeight="1" x14ac:dyDescent="0.35"/>
    <row r="1312" customFormat="1" ht="15" customHeight="1" x14ac:dyDescent="0.35"/>
    <row r="1313" customFormat="1" ht="15" customHeight="1" x14ac:dyDescent="0.35"/>
    <row r="1314" customFormat="1" ht="15" customHeight="1" x14ac:dyDescent="0.35"/>
    <row r="1315" customFormat="1" ht="15" customHeight="1" x14ac:dyDescent="0.35"/>
    <row r="1316" customFormat="1" ht="15" customHeight="1" x14ac:dyDescent="0.35"/>
    <row r="1317" customFormat="1" ht="15" customHeight="1" x14ac:dyDescent="0.35"/>
    <row r="1318" customFormat="1" ht="15" customHeight="1" x14ac:dyDescent="0.35"/>
    <row r="1319" customFormat="1" ht="15" customHeight="1" x14ac:dyDescent="0.35"/>
    <row r="1320" customFormat="1" ht="15" customHeight="1" x14ac:dyDescent="0.35"/>
    <row r="1321" customFormat="1" ht="15" customHeight="1" x14ac:dyDescent="0.35"/>
    <row r="1322" customFormat="1" ht="15" customHeight="1" x14ac:dyDescent="0.35"/>
    <row r="1323" customFormat="1" ht="15" customHeight="1" x14ac:dyDescent="0.35"/>
    <row r="1324" customFormat="1" ht="15" customHeight="1" x14ac:dyDescent="0.35"/>
    <row r="1325" customFormat="1" ht="15" customHeight="1" x14ac:dyDescent="0.35"/>
    <row r="1326" customFormat="1" ht="15" customHeight="1" x14ac:dyDescent="0.35"/>
    <row r="1327" customFormat="1" ht="15" customHeight="1" x14ac:dyDescent="0.35"/>
    <row r="1328" customFormat="1" ht="15" customHeight="1" x14ac:dyDescent="0.35"/>
    <row r="1329" customFormat="1" ht="15" customHeight="1" x14ac:dyDescent="0.35"/>
    <row r="1330" customFormat="1" ht="15" customHeight="1" x14ac:dyDescent="0.35"/>
    <row r="1331" customFormat="1" ht="15" customHeight="1" x14ac:dyDescent="0.35"/>
    <row r="1332" customFormat="1" ht="15" customHeight="1" x14ac:dyDescent="0.35"/>
    <row r="1333" customFormat="1" ht="15" customHeight="1" x14ac:dyDescent="0.35"/>
    <row r="1334" customFormat="1" ht="15" customHeight="1" x14ac:dyDescent="0.35"/>
    <row r="1335" customFormat="1" ht="15" customHeight="1" x14ac:dyDescent="0.35"/>
    <row r="1336" customFormat="1" ht="15" customHeight="1" x14ac:dyDescent="0.35"/>
    <row r="1337" customFormat="1" ht="15" customHeight="1" x14ac:dyDescent="0.35"/>
    <row r="1338" customFormat="1" ht="15" customHeight="1" x14ac:dyDescent="0.35"/>
    <row r="1339" customFormat="1" ht="15" customHeight="1" x14ac:dyDescent="0.35"/>
    <row r="1340" customFormat="1" ht="15" customHeight="1" x14ac:dyDescent="0.35"/>
    <row r="1341" customFormat="1" ht="15" customHeight="1" x14ac:dyDescent="0.35"/>
    <row r="1342" customFormat="1" ht="15" customHeight="1" x14ac:dyDescent="0.35"/>
    <row r="1343" customFormat="1" ht="15" customHeight="1" x14ac:dyDescent="0.35"/>
    <row r="1344" customFormat="1" ht="15" customHeight="1" x14ac:dyDescent="0.35"/>
    <row r="1345" customFormat="1" ht="15" customHeight="1" x14ac:dyDescent="0.35"/>
    <row r="1346" customFormat="1" ht="15" customHeight="1" x14ac:dyDescent="0.35"/>
    <row r="1347" customFormat="1" ht="15" customHeight="1" x14ac:dyDescent="0.35"/>
    <row r="1348" customFormat="1" ht="15" customHeight="1" x14ac:dyDescent="0.35"/>
    <row r="1349" customFormat="1" ht="15" customHeight="1" x14ac:dyDescent="0.35"/>
    <row r="1350" customFormat="1" ht="15" customHeight="1" x14ac:dyDescent="0.35"/>
    <row r="1351" customFormat="1" ht="15" customHeight="1" x14ac:dyDescent="0.35"/>
    <row r="1352" customFormat="1" ht="15" customHeight="1" x14ac:dyDescent="0.35"/>
    <row r="1353" customFormat="1" ht="15" customHeight="1" x14ac:dyDescent="0.35"/>
    <row r="1354" customFormat="1" ht="15" customHeight="1" x14ac:dyDescent="0.35"/>
    <row r="1355" customFormat="1" ht="15" customHeight="1" x14ac:dyDescent="0.35"/>
    <row r="1356" customFormat="1" ht="15" customHeight="1" x14ac:dyDescent="0.35"/>
    <row r="1357" customFormat="1" ht="15" customHeight="1" x14ac:dyDescent="0.35"/>
    <row r="1358" customFormat="1" ht="15" customHeight="1" x14ac:dyDescent="0.35"/>
    <row r="1359" customFormat="1" ht="15" customHeight="1" x14ac:dyDescent="0.35"/>
    <row r="1360" customFormat="1" ht="15" customHeight="1" x14ac:dyDescent="0.35"/>
    <row r="1361" customFormat="1" ht="15" customHeight="1" x14ac:dyDescent="0.35"/>
    <row r="1362" customFormat="1" ht="15" customHeight="1" x14ac:dyDescent="0.35"/>
    <row r="1363" customFormat="1" ht="15" customHeight="1" x14ac:dyDescent="0.35"/>
    <row r="1364" customFormat="1" ht="15" customHeight="1" x14ac:dyDescent="0.35"/>
    <row r="1365" customFormat="1" ht="15" customHeight="1" x14ac:dyDescent="0.35"/>
    <row r="1366" customFormat="1" ht="15" customHeight="1" x14ac:dyDescent="0.35"/>
    <row r="1367" customFormat="1" ht="15" customHeight="1" x14ac:dyDescent="0.35"/>
    <row r="1368" customFormat="1" ht="15" customHeight="1" x14ac:dyDescent="0.35"/>
    <row r="1369" customFormat="1" ht="15" customHeight="1" x14ac:dyDescent="0.35"/>
    <row r="1370" customFormat="1" ht="15" customHeight="1" x14ac:dyDescent="0.35"/>
    <row r="1371" customFormat="1" ht="15" customHeight="1" x14ac:dyDescent="0.35"/>
    <row r="1372" customFormat="1" ht="15" customHeight="1" x14ac:dyDescent="0.35"/>
    <row r="1373" customFormat="1" ht="15" customHeight="1" x14ac:dyDescent="0.35"/>
    <row r="1374" customFormat="1" ht="15" customHeight="1" x14ac:dyDescent="0.35"/>
    <row r="1375" customFormat="1" ht="15" customHeight="1" x14ac:dyDescent="0.35"/>
    <row r="1376" customFormat="1" ht="15" customHeight="1" x14ac:dyDescent="0.35"/>
    <row r="1377" customFormat="1" ht="15" customHeight="1" x14ac:dyDescent="0.35"/>
    <row r="1378" customFormat="1" ht="15" customHeight="1" x14ac:dyDescent="0.35"/>
    <row r="1379" customFormat="1" ht="15" customHeight="1" x14ac:dyDescent="0.35"/>
    <row r="1380" customFormat="1" ht="15" customHeight="1" x14ac:dyDescent="0.35"/>
    <row r="1381" customFormat="1" ht="15" customHeight="1" x14ac:dyDescent="0.35"/>
    <row r="1382" customFormat="1" ht="15" customHeight="1" x14ac:dyDescent="0.35"/>
    <row r="1383" customFormat="1" ht="15" customHeight="1" x14ac:dyDescent="0.35"/>
    <row r="1384" customFormat="1" ht="15" customHeight="1" x14ac:dyDescent="0.35"/>
    <row r="1385" customFormat="1" ht="15" customHeight="1" x14ac:dyDescent="0.35"/>
    <row r="1386" customFormat="1" ht="15" customHeight="1" x14ac:dyDescent="0.35"/>
    <row r="1387" customFormat="1" ht="15" customHeight="1" x14ac:dyDescent="0.35"/>
    <row r="1388" customFormat="1" ht="15" customHeight="1" x14ac:dyDescent="0.35"/>
    <row r="1389" customFormat="1" ht="15" customHeight="1" x14ac:dyDescent="0.35"/>
    <row r="1390" customFormat="1" ht="15" customHeight="1" x14ac:dyDescent="0.35"/>
    <row r="1391" customFormat="1" ht="15" customHeight="1" x14ac:dyDescent="0.35"/>
    <row r="1392" customFormat="1" ht="15" customHeight="1" x14ac:dyDescent="0.35"/>
    <row r="1393" spans="14:14" customFormat="1" ht="15" customHeight="1" x14ac:dyDescent="0.35"/>
    <row r="1394" spans="14:14" customFormat="1" ht="15" customHeight="1" x14ac:dyDescent="0.35"/>
    <row r="1395" spans="14:14" customFormat="1" ht="15" customHeight="1" x14ac:dyDescent="0.35"/>
    <row r="1396" spans="14:14" customFormat="1" ht="15" customHeight="1" x14ac:dyDescent="0.35"/>
    <row r="1397" spans="14:14" customFormat="1" ht="15" customHeight="1" x14ac:dyDescent="0.35"/>
    <row r="1398" spans="14:14" customFormat="1" ht="15" customHeight="1" x14ac:dyDescent="0.35"/>
    <row r="1399" spans="14:14" ht="15" customHeight="1" x14ac:dyDescent="0.35">
      <c r="N1399"/>
    </row>
  </sheetData>
  <mergeCells count="17">
    <mergeCell ref="N17:N18"/>
    <mergeCell ref="A24:M24"/>
    <mergeCell ref="A1:J1"/>
    <mergeCell ref="A11:A12"/>
    <mergeCell ref="J12:L12"/>
    <mergeCell ref="N3:N4"/>
    <mergeCell ref="C11:D11"/>
    <mergeCell ref="K11:L11"/>
    <mergeCell ref="A3:A4"/>
    <mergeCell ref="B3:M3"/>
    <mergeCell ref="A10:M10"/>
    <mergeCell ref="A25:A26"/>
    <mergeCell ref="C25:D25"/>
    <mergeCell ref="J26:L26"/>
    <mergeCell ref="A15:J15"/>
    <mergeCell ref="A17:A18"/>
    <mergeCell ref="B17:M17"/>
  </mergeCells>
  <conditionalFormatting sqref="B6:M8">
    <cfRule type="expression" priority="40" stopIfTrue="1">
      <formula>B6=""</formula>
    </cfRule>
    <cfRule type="expression" dxfId="131" priority="42" stopIfTrue="1">
      <formula>B6=KeyCustom1</formula>
    </cfRule>
    <cfRule type="expression" dxfId="130" priority="43" stopIfTrue="1">
      <formula>B6=KeySick</formula>
    </cfRule>
    <cfRule type="expression" dxfId="129" priority="44" stopIfTrue="1">
      <formula>B6=KeyPersonal</formula>
    </cfRule>
  </conditionalFormatting>
  <conditionalFormatting sqref="B6:M10">
    <cfRule type="expression" dxfId="128" priority="41" stopIfTrue="1">
      <formula>B6=KeyCustom2</formula>
    </cfRule>
    <cfRule type="expression" dxfId="127" priority="45" stopIfTrue="1">
      <formula>B6=KeyVacation</formula>
    </cfRule>
  </conditionalFormatting>
  <conditionalFormatting sqref="G11">
    <cfRule type="colorScale" priority="64">
      <colorScale>
        <cfvo type="min"/>
        <cfvo type="max"/>
        <color rgb="FF00B050"/>
        <color rgb="FF00B050"/>
      </colorScale>
    </cfRule>
    <cfRule type="colorScale" priority="65">
      <colorScale>
        <cfvo type="min"/>
        <cfvo type="max"/>
        <color rgb="FF00B050"/>
        <color rgb="FFFFEF9C"/>
      </colorScale>
    </cfRule>
  </conditionalFormatting>
  <conditionalFormatting sqref="B11:C11 E11:G11 M11">
    <cfRule type="expression" dxfId="126" priority="67" stopIfTrue="1">
      <formula>B11=KeyCustom2</formula>
    </cfRule>
    <cfRule type="expression" dxfId="125" priority="71" stopIfTrue="1">
      <formula>B11=KeyVacation</formula>
    </cfRule>
  </conditionalFormatting>
  <conditionalFormatting sqref="A11">
    <cfRule type="expression" dxfId="124" priority="62" stopIfTrue="1">
      <formula>A11=KeyCustom2</formula>
    </cfRule>
    <cfRule type="expression" dxfId="123" priority="63" stopIfTrue="1">
      <formula>A11=KeyVacation</formula>
    </cfRule>
  </conditionalFormatting>
  <conditionalFormatting sqref="B11">
    <cfRule type="colorScale" priority="60">
      <colorScale>
        <cfvo type="min"/>
        <cfvo type="max"/>
        <color rgb="FF00B050"/>
        <color rgb="FF00B050"/>
      </colorScale>
    </cfRule>
    <cfRule type="colorScale" priority="61">
      <colorScale>
        <cfvo type="min"/>
        <cfvo type="max"/>
        <color rgb="FF00B050"/>
        <color rgb="FFFFEF9C"/>
      </colorScale>
    </cfRule>
  </conditionalFormatting>
  <conditionalFormatting sqref="F11">
    <cfRule type="colorScale" priority="58">
      <colorScale>
        <cfvo type="min"/>
        <cfvo type="max"/>
        <color rgb="FF00B050"/>
        <color rgb="FF00B050"/>
      </colorScale>
    </cfRule>
    <cfRule type="colorScale" priority="59">
      <colorScale>
        <cfvo type="min"/>
        <cfvo type="max"/>
        <color rgb="FF00B050"/>
        <color rgb="FFFFEF9C"/>
      </colorScale>
    </cfRule>
  </conditionalFormatting>
  <conditionalFormatting sqref="B12">
    <cfRule type="expression" dxfId="122" priority="56" stopIfTrue="1">
      <formula>B12=KeyCustom2</formula>
    </cfRule>
    <cfRule type="expression" dxfId="121" priority="57" stopIfTrue="1">
      <formula>B12=KeyVacation</formula>
    </cfRule>
  </conditionalFormatting>
  <conditionalFormatting sqref="C12">
    <cfRule type="expression" dxfId="120" priority="54" stopIfTrue="1">
      <formula>C12=KeyCustom2</formula>
    </cfRule>
    <cfRule type="expression" dxfId="119" priority="55" stopIfTrue="1">
      <formula>C12=KeyVacation</formula>
    </cfRule>
  </conditionalFormatting>
  <conditionalFormatting sqref="G12:H12">
    <cfRule type="expression" dxfId="118" priority="72" stopIfTrue="1">
      <formula>G12=KeyCustom2</formula>
    </cfRule>
    <cfRule type="expression" dxfId="117" priority="72" stopIfTrue="1">
      <formula>G12=KeyVacation</formula>
    </cfRule>
  </conditionalFormatting>
  <conditionalFormatting sqref="M12">
    <cfRule type="expression" dxfId="116" priority="50" stopIfTrue="1">
      <formula>M12=KeyCustom2</formula>
    </cfRule>
    <cfRule type="expression" dxfId="115" priority="51" stopIfTrue="1">
      <formula>M12=KeyVacation</formula>
    </cfRule>
  </conditionalFormatting>
  <conditionalFormatting sqref="I11">
    <cfRule type="expression" dxfId="114" priority="73" stopIfTrue="1">
      <formula>I11=KeyCustom2</formula>
    </cfRule>
    <cfRule type="expression" dxfId="113" priority="73" stopIfTrue="1">
      <formula>I11=KeyVacation</formula>
    </cfRule>
  </conditionalFormatting>
  <conditionalFormatting sqref="J12">
    <cfRule type="expression" dxfId="112" priority="74" stopIfTrue="1">
      <formula>J12=KeyCustom2</formula>
    </cfRule>
    <cfRule type="expression" dxfId="111" priority="74" stopIfTrue="1">
      <formula>J12=KeyVacation</formula>
    </cfRule>
  </conditionalFormatting>
  <conditionalFormatting sqref="I12">
    <cfRule type="expression" dxfId="110" priority="38" stopIfTrue="1">
      <formula>I12=KeyCustom2</formula>
    </cfRule>
    <cfRule type="expression" dxfId="109" priority="39" stopIfTrue="1">
      <formula>I12=KeyVacation</formula>
    </cfRule>
  </conditionalFormatting>
  <conditionalFormatting sqref="N6:N9">
    <cfRule type="dataBar" priority="36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{14AB685C-4715-454D-948A-B47B6846F694}</x14:id>
        </ext>
      </extLst>
    </cfRule>
  </conditionalFormatting>
  <conditionalFormatting sqref="B20:M22">
    <cfRule type="expression" priority="8" stopIfTrue="1">
      <formula>B20=""</formula>
    </cfRule>
    <cfRule type="expression" dxfId="108" priority="10" stopIfTrue="1">
      <formula>B20=KeyCustom1</formula>
    </cfRule>
    <cfRule type="expression" dxfId="107" priority="11" stopIfTrue="1">
      <formula>B20=KeySick</formula>
    </cfRule>
    <cfRule type="expression" dxfId="106" priority="12" stopIfTrue="1">
      <formula>B20=KeyPersonal</formula>
    </cfRule>
  </conditionalFormatting>
  <conditionalFormatting sqref="B20:M24">
    <cfRule type="expression" dxfId="105" priority="9" stopIfTrue="1">
      <formula>B20=KeyCustom2</formula>
    </cfRule>
    <cfRule type="expression" dxfId="104" priority="13" stopIfTrue="1">
      <formula>B20=KeyVacation</formula>
    </cfRule>
  </conditionalFormatting>
  <conditionalFormatting sqref="G25">
    <cfRule type="colorScale" priority="26">
      <colorScale>
        <cfvo type="min"/>
        <cfvo type="max"/>
        <color rgb="FF00B050"/>
        <color rgb="FF00B050"/>
      </colorScale>
    </cfRule>
    <cfRule type="colorScale" priority="27">
      <colorScale>
        <cfvo type="min"/>
        <cfvo type="max"/>
        <color rgb="FF00B050"/>
        <color rgb="FFFFEF9C"/>
      </colorScale>
    </cfRule>
  </conditionalFormatting>
  <conditionalFormatting sqref="B25:C25 E25:G25 J25:K25 M25">
    <cfRule type="expression" dxfId="103" priority="28" stopIfTrue="1">
      <formula>B25=KeyCustom2</formula>
    </cfRule>
    <cfRule type="expression" dxfId="102" priority="29" stopIfTrue="1">
      <formula>B25=KeyVacation</formula>
    </cfRule>
  </conditionalFormatting>
  <conditionalFormatting sqref="A25">
    <cfRule type="expression" dxfId="101" priority="24" stopIfTrue="1">
      <formula>A25=KeyCustom2</formula>
    </cfRule>
    <cfRule type="expression" dxfId="100" priority="25" stopIfTrue="1">
      <formula>A25=KeyVacation</formula>
    </cfRule>
  </conditionalFormatting>
  <conditionalFormatting sqref="B25">
    <cfRule type="colorScale" priority="22">
      <colorScale>
        <cfvo type="min"/>
        <cfvo type="max"/>
        <color rgb="FF00B050"/>
        <color rgb="FF00B050"/>
      </colorScale>
    </cfRule>
    <cfRule type="colorScale" priority="23">
      <colorScale>
        <cfvo type="min"/>
        <cfvo type="max"/>
        <color rgb="FF00B050"/>
        <color rgb="FFFFEF9C"/>
      </colorScale>
    </cfRule>
  </conditionalFormatting>
  <conditionalFormatting sqref="F25">
    <cfRule type="colorScale" priority="20">
      <colorScale>
        <cfvo type="min"/>
        <cfvo type="max"/>
        <color rgb="FF00B050"/>
        <color rgb="FF00B050"/>
      </colorScale>
    </cfRule>
    <cfRule type="colorScale" priority="21">
      <colorScale>
        <cfvo type="min"/>
        <cfvo type="max"/>
        <color rgb="FF00B050"/>
        <color rgb="FFFFEF9C"/>
      </colorScale>
    </cfRule>
  </conditionalFormatting>
  <conditionalFormatting sqref="B26">
    <cfRule type="expression" dxfId="99" priority="18" stopIfTrue="1">
      <formula>B26=KeyCustom2</formula>
    </cfRule>
    <cfRule type="expression" dxfId="98" priority="19" stopIfTrue="1">
      <formula>B26=KeyVacation</formula>
    </cfRule>
  </conditionalFormatting>
  <conditionalFormatting sqref="C26">
    <cfRule type="expression" dxfId="97" priority="16" stopIfTrue="1">
      <formula>C26=KeyCustom2</formula>
    </cfRule>
    <cfRule type="expression" dxfId="96" priority="17" stopIfTrue="1">
      <formula>C26=KeyVacation</formula>
    </cfRule>
  </conditionalFormatting>
  <conditionalFormatting sqref="G26:H26">
    <cfRule type="expression" dxfId="95" priority="30" stopIfTrue="1">
      <formula>G26=KeyCustom2</formula>
    </cfRule>
  </conditionalFormatting>
  <conditionalFormatting sqref="M26">
    <cfRule type="expression" dxfId="94" priority="14" stopIfTrue="1">
      <formula>M26=KeyCustom2</formula>
    </cfRule>
    <cfRule type="expression" dxfId="93" priority="15" stopIfTrue="1">
      <formula>M26=KeyVacation</formula>
    </cfRule>
  </conditionalFormatting>
  <conditionalFormatting sqref="I25">
    <cfRule type="expression" dxfId="92" priority="31" stopIfTrue="1">
      <formula>I25=KeyCustom2</formula>
    </cfRule>
  </conditionalFormatting>
  <conditionalFormatting sqref="J26">
    <cfRule type="expression" dxfId="91" priority="32" stopIfTrue="1">
      <formula>J26=KeyCustom2</formula>
    </cfRule>
  </conditionalFormatting>
  <conditionalFormatting sqref="I26">
    <cfRule type="expression" dxfId="90" priority="6" stopIfTrue="1">
      <formula>I26=KeyCustom2</formula>
    </cfRule>
    <cfRule type="expression" dxfId="89" priority="7" stopIfTrue="1">
      <formula>I26=KeyVacation</formula>
    </cfRule>
  </conditionalFormatting>
  <conditionalFormatting sqref="N20:N23">
    <cfRule type="dataBar" priority="5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{4648766C-FD2D-4601-AB6E-0856DADB9B50}</x14:id>
        </ext>
      </extLst>
    </cfRule>
  </conditionalFormatting>
  <conditionalFormatting sqref="J25">
    <cfRule type="containsText" dxfId="88" priority="4" operator="containsText" text="CAD">
      <formula>NOT(ISERROR(SEARCH("CAD",J25)))</formula>
    </cfRule>
  </conditionalFormatting>
  <conditionalFormatting sqref="J11:K11">
    <cfRule type="expression" dxfId="87" priority="2" stopIfTrue="1">
      <formula>J11=KeyCustom2</formula>
    </cfRule>
    <cfRule type="expression" dxfId="86" priority="3" stopIfTrue="1">
      <formula>J11=KeyVacation</formula>
    </cfRule>
  </conditionalFormatting>
  <conditionalFormatting sqref="J11">
    <cfRule type="containsText" dxfId="85" priority="1" operator="containsText" text="CAD">
      <formula>NOT(ISERROR(SEARCH("CAD",J11)))</formula>
    </cfRule>
  </conditionalFormatting>
  <pageMargins left="0.7" right="0.7" top="0.75" bottom="0.75" header="0.3" footer="0.3"/>
  <pageSetup orientation="portrait" r:id="rId1"/>
  <drawing r:id="rId2"/>
  <legacyDrawing r:id="rId3"/>
  <tableParts count="2"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AB685C-4715-454D-948A-B47B6846F694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N6:N9</xm:sqref>
        </x14:conditionalFormatting>
        <x14:conditionalFormatting xmlns:xm="http://schemas.microsoft.com/office/excel/2006/main">
          <x14:cfRule type="dataBar" id="{4648766C-FD2D-4601-AB6E-0856DADB9B50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N20:N23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D2B7C6AD-4757-4354-B044-7DF1C9BC91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Sheet1</vt:lpstr>
      <vt:lpstr>DAILY</vt:lpstr>
      <vt:lpstr>MONTHLY</vt:lpstr>
      <vt:lpstr>CalendarYear</vt:lpstr>
      <vt:lpstr>JANUARY</vt:lpstr>
      <vt:lpstr>KeyCustom1</vt:lpstr>
      <vt:lpstr>KeyCustom1Label</vt:lpstr>
      <vt:lpstr>KeyCustom2</vt:lpstr>
      <vt:lpstr>KeyCustom2Label</vt:lpstr>
      <vt:lpstr>KeyPersonal</vt:lpstr>
      <vt:lpstr>KeyPersonalLabel</vt:lpstr>
      <vt:lpstr>KeySick</vt:lpstr>
      <vt:lpstr>KeySickLabel</vt:lpstr>
      <vt:lpstr>KeyVacation</vt:lpstr>
      <vt:lpstr>KeyVacationLabel</vt:lpstr>
      <vt:lpstr>DAILY!MonthName</vt:lpstr>
      <vt:lpstr>MONTHLY!MonthName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User</dc:creator>
  <cp:keywords/>
  <cp:lastModifiedBy>Greatman Justus. Unye-Awaji</cp:lastModifiedBy>
  <dcterms:created xsi:type="dcterms:W3CDTF">2014-09-05T15:01:32Z</dcterms:created>
  <dcterms:modified xsi:type="dcterms:W3CDTF">2025-12-25T16:35:05Z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TC039871679991</vt:lpwstr>
  </property>
</Properties>
</file>